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9A97A52-4551-42BA-8AC3-B9DC0FFEA479}" xr6:coauthVersionLast="47" xr6:coauthVersionMax="47" xr10:uidLastSave="{00000000-0000-0000-0000-000000000000}"/>
  <bookViews>
    <workbookView xWindow="-120" yWindow="-120" windowWidth="20730" windowHeight="11160" tabRatio="739" firstSheet="3" activeTab="3" xr2:uid="{00000000-000D-0000-FFFF-FFFF00000000}"/>
  </bookViews>
  <sheets>
    <sheet name="Instructions" sheetId="1" state="hidden" r:id="rId1"/>
    <sheet name="01_Theory Course List" sheetId="2" r:id="rId2"/>
    <sheet name="02_Sessional Course List" sheetId="6" r:id="rId3"/>
    <sheet name="03_Course Outline Tracker" sheetId="10" r:id="rId4"/>
    <sheet name="04_Class Test Tracker" sheetId="11" r:id="rId5"/>
    <sheet name="05_Sessional Assessment Tracker" sheetId="8" r:id="rId6"/>
    <sheet name="06_Feedback Tracker" sheetId="12" r:id="rId7"/>
    <sheet name="07_Sessional Grade Tracker" sheetId="9" r:id="rId8"/>
    <sheet name="08_Theory Grade Tracker" sheetId="7" r:id="rId9"/>
    <sheet name="09_CF_CAR Tracker" sheetId="14" r:id="rId10"/>
    <sheet name="Lists" sheetId="3" state="hidden" r:id="rId11"/>
  </sheets>
  <definedNames>
    <definedName name="_xlnm._FilterDatabase" localSheetId="1" hidden="1">'01_Theory Course List'!$A$1:$I$33</definedName>
    <definedName name="_xlnm._FilterDatabase" localSheetId="2" hidden="1">'02_Sessional Course List'!$A$1:$L$20</definedName>
    <definedName name="_xlnm._FilterDatabase" localSheetId="3" hidden="1">'03_Course Outline Tracker'!$C$1:$I$33</definedName>
    <definedName name="_xlnm._FilterDatabase" localSheetId="4" hidden="1">'04_Class Test Tracker'!$B$1:$O$14</definedName>
    <definedName name="_xlnm._FilterDatabase" localSheetId="5" hidden="1">'05_Sessional Assessment Tracker'!$A$1:$M$33</definedName>
    <definedName name="_xlnm._FilterDatabase" localSheetId="6" hidden="1">'06_Feedback Tracker'!$B$2:$F$62</definedName>
    <definedName name="_xlnm._FilterDatabase" localSheetId="7" hidden="1">'07_Sessional Grade Tracker'!$A$1:$J$33</definedName>
    <definedName name="_xlnm._FilterDatabase" localSheetId="8" hidden="1">'08_Theory Grade Tracker'!$B$2:$W$62</definedName>
    <definedName name="_xlnm._FilterDatabase" localSheetId="9" hidden="1">'09_CF_CAR Tracker'!$B$2:$F$62</definedName>
    <definedName name="CAR_CourseFileStatus">Lists!$K$2:$K$4</definedName>
    <definedName name="CourseOutlineStatus">Lists!$A$2:$A$4</definedName>
    <definedName name="CTStatus">Lists!$C$2:$C$6</definedName>
    <definedName name="ExaminerStatus">Lists!$G$2:$G$4</definedName>
    <definedName name="Faculty_List">Lists!$B$2:$B$15</definedName>
    <definedName name="FeedbackStatus">Lists!$D$2:$D$3</definedName>
    <definedName name="GradesheetPrepStatus">Lists!$I$2:$I$5</definedName>
    <definedName name="GradesheetScrutinyStatus">Lists!$J$2:$J$5</definedName>
    <definedName name="QMStatus">Lists!$F$2:$F$4</definedName>
    <definedName name="QPStatus">Lists!$E$2:$E$4</definedName>
    <definedName name="ScriptScrutinyStatus">Lists!$H$2:$H$4</definedName>
    <definedName name="SessionalEvaluations">Lists!$L$2:$L$22</definedName>
    <definedName name="SessionalEvaluationStatus">Lists!$M$2:$M$5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7" i="8" l="1"/>
  <c r="B2" i="8"/>
  <c r="B8" i="9"/>
  <c r="D14" i="14"/>
  <c r="C14" i="14"/>
  <c r="B14" i="14"/>
  <c r="D13" i="14"/>
  <c r="C13" i="14"/>
  <c r="B13" i="14"/>
  <c r="D12" i="14"/>
  <c r="C12" i="14"/>
  <c r="G12" i="14" s="1"/>
  <c r="B12" i="14"/>
  <c r="D11" i="14"/>
  <c r="C11" i="14"/>
  <c r="B11" i="14"/>
  <c r="D10" i="14"/>
  <c r="C10" i="14"/>
  <c r="B10" i="14"/>
  <c r="D9" i="14"/>
  <c r="C9" i="14"/>
  <c r="B9" i="14"/>
  <c r="D8" i="14"/>
  <c r="C8" i="14"/>
  <c r="G8" i="14" s="1"/>
  <c r="B8" i="14"/>
  <c r="D7" i="14"/>
  <c r="C7" i="14"/>
  <c r="B7" i="14"/>
  <c r="D6" i="14"/>
  <c r="C6" i="14"/>
  <c r="B6" i="14"/>
  <c r="D5" i="14"/>
  <c r="C5" i="14"/>
  <c r="B5" i="14"/>
  <c r="D4" i="14"/>
  <c r="C4" i="14"/>
  <c r="G4" i="14" s="1"/>
  <c r="B4" i="14"/>
  <c r="D3" i="14"/>
  <c r="C3" i="14"/>
  <c r="B3" i="14"/>
  <c r="D2" i="14"/>
  <c r="C2" i="14"/>
  <c r="B2" i="14"/>
  <c r="D1" i="14"/>
  <c r="C1" i="14"/>
  <c r="B1" i="14"/>
  <c r="D14" i="12"/>
  <c r="C14" i="12"/>
  <c r="G14" i="12" s="1"/>
  <c r="B14" i="12"/>
  <c r="D13" i="12"/>
  <c r="C13" i="12"/>
  <c r="B13" i="12"/>
  <c r="D12" i="12"/>
  <c r="C12" i="12"/>
  <c r="B12" i="12"/>
  <c r="D11" i="12"/>
  <c r="C11" i="12"/>
  <c r="F11" i="12" s="1"/>
  <c r="B11" i="12"/>
  <c r="D10" i="12"/>
  <c r="C10" i="12"/>
  <c r="G10" i="12" s="1"/>
  <c r="B10" i="12"/>
  <c r="D9" i="12"/>
  <c r="C9" i="12"/>
  <c r="B9" i="12"/>
  <c r="D8" i="12"/>
  <c r="C8" i="12"/>
  <c r="B8" i="12"/>
  <c r="D7" i="12"/>
  <c r="C7" i="12"/>
  <c r="F7" i="12" s="1"/>
  <c r="B7" i="12"/>
  <c r="D6" i="12"/>
  <c r="C6" i="12"/>
  <c r="G6" i="12" s="1"/>
  <c r="B6" i="12"/>
  <c r="D5" i="12"/>
  <c r="C5" i="12"/>
  <c r="B5" i="12"/>
  <c r="D4" i="12"/>
  <c r="C4" i="12"/>
  <c r="B4" i="12"/>
  <c r="D3" i="12"/>
  <c r="C3" i="12"/>
  <c r="F3" i="12" s="1"/>
  <c r="B3" i="12"/>
  <c r="D2" i="12"/>
  <c r="C2" i="12"/>
  <c r="G2" i="12" s="1"/>
  <c r="B2" i="12"/>
  <c r="D1" i="12"/>
  <c r="C1" i="12"/>
  <c r="B1" i="12"/>
  <c r="C14" i="11"/>
  <c r="B14" i="11"/>
  <c r="D14" i="11" s="1"/>
  <c r="A14" i="11"/>
  <c r="C13" i="11"/>
  <c r="B13" i="11"/>
  <c r="E13" i="11" s="1"/>
  <c r="A13" i="11"/>
  <c r="C12" i="11"/>
  <c r="B12" i="11"/>
  <c r="E12" i="11" s="1"/>
  <c r="A12" i="11"/>
  <c r="C11" i="11"/>
  <c r="B11" i="11"/>
  <c r="E11" i="11" s="1"/>
  <c r="A11" i="11"/>
  <c r="C10" i="11"/>
  <c r="B10" i="11"/>
  <c r="D10" i="11" s="1"/>
  <c r="A10" i="11"/>
  <c r="C9" i="11"/>
  <c r="B9" i="11"/>
  <c r="E9" i="11" s="1"/>
  <c r="A9" i="11"/>
  <c r="C8" i="11"/>
  <c r="B8" i="11"/>
  <c r="E8" i="11" s="1"/>
  <c r="A8" i="11"/>
  <c r="C7" i="11"/>
  <c r="B7" i="11"/>
  <c r="E7" i="11" s="1"/>
  <c r="A7" i="11"/>
  <c r="C6" i="11"/>
  <c r="B6" i="11"/>
  <c r="A6" i="11"/>
  <c r="C5" i="11"/>
  <c r="B5" i="11"/>
  <c r="A5" i="11"/>
  <c r="C4" i="11"/>
  <c r="B4" i="11"/>
  <c r="E4" i="11" s="1"/>
  <c r="A4" i="11"/>
  <c r="C3" i="11"/>
  <c r="B3" i="11"/>
  <c r="E3" i="11" s="1"/>
  <c r="A3" i="11"/>
  <c r="C2" i="11"/>
  <c r="B2" i="11"/>
  <c r="D2" i="11" s="1"/>
  <c r="A2" i="11"/>
  <c r="C1" i="11"/>
  <c r="B1" i="11"/>
  <c r="A1" i="11"/>
  <c r="D14" i="10"/>
  <c r="C14" i="10"/>
  <c r="G14" i="10" s="1"/>
  <c r="B14" i="10"/>
  <c r="D13" i="10"/>
  <c r="C13" i="10"/>
  <c r="F13" i="10" s="1"/>
  <c r="B13" i="10"/>
  <c r="D12" i="10"/>
  <c r="C12" i="10"/>
  <c r="G12" i="10" s="1"/>
  <c r="B12" i="10"/>
  <c r="D11" i="10"/>
  <c r="C11" i="10"/>
  <c r="F11" i="10" s="1"/>
  <c r="B11" i="10"/>
  <c r="D10" i="10"/>
  <c r="C10" i="10"/>
  <c r="G10" i="10" s="1"/>
  <c r="B10" i="10"/>
  <c r="D9" i="10"/>
  <c r="C9" i="10"/>
  <c r="F9" i="10" s="1"/>
  <c r="B9" i="10"/>
  <c r="D8" i="10"/>
  <c r="C8" i="10"/>
  <c r="G8" i="10" s="1"/>
  <c r="B8" i="10"/>
  <c r="D7" i="10"/>
  <c r="C7" i="10"/>
  <c r="G7" i="10" s="1"/>
  <c r="B7" i="10"/>
  <c r="D6" i="10"/>
  <c r="C6" i="10"/>
  <c r="G6" i="10" s="1"/>
  <c r="B6" i="10"/>
  <c r="D5" i="10"/>
  <c r="C5" i="10"/>
  <c r="F5" i="10" s="1"/>
  <c r="B5" i="10"/>
  <c r="D4" i="10"/>
  <c r="C4" i="10"/>
  <c r="G4" i="10" s="1"/>
  <c r="B4" i="10"/>
  <c r="D3" i="10"/>
  <c r="C3" i="10"/>
  <c r="B3" i="10"/>
  <c r="D2" i="10"/>
  <c r="C2" i="10"/>
  <c r="G2" i="10" s="1"/>
  <c r="B2" i="10"/>
  <c r="D1" i="10"/>
  <c r="C1" i="10"/>
  <c r="B1" i="10"/>
  <c r="A1" i="9"/>
  <c r="B1" i="9"/>
  <c r="C1" i="9"/>
  <c r="D1" i="9"/>
  <c r="E1" i="9"/>
  <c r="A2" i="9"/>
  <c r="B2" i="9"/>
  <c r="C2" i="9"/>
  <c r="D2" i="9"/>
  <c r="E2" i="9"/>
  <c r="E3" i="9"/>
  <c r="A4" i="9"/>
  <c r="B4" i="9"/>
  <c r="C4" i="9"/>
  <c r="D4" i="9"/>
  <c r="E4" i="9"/>
  <c r="E5" i="9"/>
  <c r="A6" i="9"/>
  <c r="B6" i="9"/>
  <c r="C6" i="9"/>
  <c r="D6" i="9"/>
  <c r="E6" i="9"/>
  <c r="E7" i="9"/>
  <c r="A8" i="9"/>
  <c r="C8" i="9"/>
  <c r="D8" i="9"/>
  <c r="E8" i="9"/>
  <c r="E9" i="9"/>
  <c r="A10" i="9"/>
  <c r="B10" i="9"/>
  <c r="C10" i="9"/>
  <c r="D10" i="9"/>
  <c r="E10" i="9"/>
  <c r="E11" i="9"/>
  <c r="A12" i="9"/>
  <c r="B12" i="9"/>
  <c r="C12" i="9"/>
  <c r="D12" i="9"/>
  <c r="E12" i="9"/>
  <c r="E13" i="9"/>
  <c r="A14" i="9"/>
  <c r="B14" i="9"/>
  <c r="C14" i="9"/>
  <c r="D14" i="9"/>
  <c r="E14" i="9"/>
  <c r="E15" i="9"/>
  <c r="A16" i="9"/>
  <c r="B16" i="9"/>
  <c r="C16" i="9"/>
  <c r="D16" i="9"/>
  <c r="E16" i="9"/>
  <c r="E17" i="9"/>
  <c r="A18" i="9"/>
  <c r="B18" i="9"/>
  <c r="C18" i="9"/>
  <c r="D18" i="9"/>
  <c r="E18" i="9"/>
  <c r="E19" i="9"/>
  <c r="A20" i="9"/>
  <c r="B20" i="9"/>
  <c r="C20" i="9"/>
  <c r="D20" i="9"/>
  <c r="E20" i="9"/>
  <c r="A2" i="7"/>
  <c r="B2" i="7"/>
  <c r="C2" i="7"/>
  <c r="A3" i="7"/>
  <c r="B3" i="7"/>
  <c r="C3" i="7"/>
  <c r="A4" i="7"/>
  <c r="B4" i="7"/>
  <c r="C4" i="7"/>
  <c r="A5" i="7"/>
  <c r="B5" i="7"/>
  <c r="C5" i="7"/>
  <c r="A6" i="7"/>
  <c r="B6" i="7"/>
  <c r="C6" i="7"/>
  <c r="A7" i="7"/>
  <c r="B7" i="7"/>
  <c r="C7" i="7"/>
  <c r="A8" i="7"/>
  <c r="B8" i="7"/>
  <c r="C8" i="7"/>
  <c r="A9" i="7"/>
  <c r="B9" i="7"/>
  <c r="C9" i="7"/>
  <c r="A10" i="7"/>
  <c r="B10" i="7"/>
  <c r="C10" i="7"/>
  <c r="A11" i="7"/>
  <c r="B11" i="7"/>
  <c r="C11" i="7"/>
  <c r="A12" i="7"/>
  <c r="B12" i="7"/>
  <c r="C12" i="7"/>
  <c r="A13" i="7"/>
  <c r="B13" i="7"/>
  <c r="C13" i="7"/>
  <c r="A14" i="7"/>
  <c r="B14" i="7"/>
  <c r="C14" i="7"/>
  <c r="A15" i="7"/>
  <c r="B15" i="7"/>
  <c r="C15" i="7"/>
  <c r="A1" i="8"/>
  <c r="B1" i="8"/>
  <c r="C1" i="8"/>
  <c r="D1" i="8"/>
  <c r="E1" i="8"/>
  <c r="F1" i="8"/>
  <c r="A2" i="8"/>
  <c r="C2" i="8"/>
  <c r="D2" i="8"/>
  <c r="E2" i="8"/>
  <c r="F2" i="8"/>
  <c r="F3" i="8"/>
  <c r="B4" i="8"/>
  <c r="C4" i="8"/>
  <c r="D4" i="8"/>
  <c r="E4" i="8"/>
  <c r="F4" i="8"/>
  <c r="F5" i="8"/>
  <c r="B6" i="8"/>
  <c r="C6" i="8"/>
  <c r="D6" i="8"/>
  <c r="E6" i="8"/>
  <c r="F6" i="8"/>
  <c r="F7" i="8"/>
  <c r="B8" i="8"/>
  <c r="C8" i="8"/>
  <c r="D8" i="8"/>
  <c r="E8" i="8"/>
  <c r="F8" i="8"/>
  <c r="F9" i="8"/>
  <c r="B10" i="8"/>
  <c r="C10" i="8"/>
  <c r="D10" i="8"/>
  <c r="E10" i="8"/>
  <c r="F10" i="8"/>
  <c r="F11" i="8"/>
  <c r="B12" i="8"/>
  <c r="C12" i="8"/>
  <c r="D12" i="8"/>
  <c r="E12" i="8"/>
  <c r="F12" i="8"/>
  <c r="F13" i="8"/>
  <c r="B14" i="8"/>
  <c r="C14" i="8"/>
  <c r="D14" i="8"/>
  <c r="E14" i="8"/>
  <c r="F14" i="8"/>
  <c r="F15" i="8"/>
  <c r="B16" i="8"/>
  <c r="C16" i="8"/>
  <c r="D16" i="8"/>
  <c r="E16" i="8"/>
  <c r="F16" i="8"/>
  <c r="B18" i="8"/>
  <c r="C18" i="8"/>
  <c r="D18" i="8"/>
  <c r="E18" i="8"/>
  <c r="F18" i="8"/>
  <c r="F19" i="8"/>
  <c r="B20" i="8"/>
  <c r="C20" i="8"/>
  <c r="D20" i="8"/>
  <c r="E20" i="8"/>
  <c r="F20" i="8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B22" i="7"/>
  <c r="B21" i="7"/>
  <c r="B20" i="7"/>
  <c r="A20" i="7"/>
  <c r="B19" i="7"/>
  <c r="A19" i="7"/>
  <c r="B18" i="7"/>
  <c r="C18" i="7" s="1"/>
  <c r="A18" i="7"/>
  <c r="B17" i="7"/>
  <c r="C17" i="7" s="1"/>
  <c r="A17" i="7"/>
  <c r="B16" i="7"/>
  <c r="A16" i="7"/>
  <c r="O15" i="7"/>
  <c r="O13" i="7"/>
  <c r="O7" i="7"/>
  <c r="O3" i="7"/>
  <c r="F3" i="10" l="1"/>
  <c r="G3" i="10"/>
  <c r="E5" i="11"/>
  <c r="D5" i="11"/>
  <c r="D6" i="11"/>
  <c r="E6" i="11"/>
  <c r="F4" i="12"/>
  <c r="G4" i="12"/>
  <c r="G5" i="12"/>
  <c r="F5" i="12"/>
  <c r="F8" i="12"/>
  <c r="G8" i="12"/>
  <c r="G9" i="12"/>
  <c r="F9" i="12"/>
  <c r="F12" i="12"/>
  <c r="G12" i="12"/>
  <c r="G13" i="12"/>
  <c r="F13" i="12"/>
  <c r="G2" i="14"/>
  <c r="F2" i="14"/>
  <c r="G3" i="14"/>
  <c r="F3" i="14"/>
  <c r="F5" i="14"/>
  <c r="G5" i="14"/>
  <c r="G6" i="14"/>
  <c r="F6" i="14"/>
  <c r="G7" i="14"/>
  <c r="F7" i="14"/>
  <c r="F9" i="14"/>
  <c r="G9" i="14"/>
  <c r="G10" i="14"/>
  <c r="F10" i="14"/>
  <c r="G11" i="14"/>
  <c r="F11" i="14"/>
  <c r="F13" i="14"/>
  <c r="G13" i="14"/>
  <c r="G14" i="14"/>
  <c r="F14" i="14"/>
  <c r="F4" i="14"/>
  <c r="F8" i="14"/>
  <c r="F12" i="14"/>
  <c r="G3" i="12"/>
  <c r="G7" i="12"/>
  <c r="G11" i="12"/>
  <c r="F2" i="12"/>
  <c r="F6" i="12"/>
  <c r="F10" i="12"/>
  <c r="F14" i="12"/>
  <c r="E14" i="11"/>
  <c r="D13" i="11"/>
  <c r="E2" i="11"/>
  <c r="D9" i="11"/>
  <c r="E10" i="11"/>
  <c r="D4" i="11"/>
  <c r="D8" i="11"/>
  <c r="D12" i="11"/>
  <c r="D3" i="11"/>
  <c r="D7" i="11"/>
  <c r="D11" i="11"/>
  <c r="G11" i="10"/>
  <c r="F7" i="10"/>
  <c r="F4" i="10"/>
  <c r="F12" i="10"/>
  <c r="G13" i="10"/>
  <c r="G5" i="10"/>
  <c r="F8" i="10"/>
  <c r="G9" i="10"/>
  <c r="F2" i="10"/>
  <c r="F6" i="10"/>
  <c r="F10" i="10"/>
  <c r="F14" i="10"/>
  <c r="M4" i="7"/>
  <c r="M6" i="7"/>
  <c r="M8" i="7"/>
  <c r="M10" i="7"/>
  <c r="M12" i="7"/>
  <c r="M14" i="7"/>
  <c r="O6" i="7"/>
  <c r="O10" i="7"/>
  <c r="O12" i="7"/>
  <c r="O4" i="7"/>
  <c r="O8" i="7"/>
  <c r="O14" i="7"/>
  <c r="M5" i="7"/>
  <c r="M7" i="7"/>
  <c r="M9" i="7"/>
  <c r="M11" i="7"/>
  <c r="M13" i="7"/>
  <c r="M15" i="7"/>
  <c r="C19" i="7"/>
  <c r="M3" i="7"/>
  <c r="O5" i="7"/>
  <c r="O9" i="7"/>
  <c r="O11" i="7"/>
  <c r="C16" i="7"/>
  <c r="C20" i="7"/>
  <c r="C21" i="7"/>
  <c r="C22" i="7"/>
</calcChain>
</file>

<file path=xl/sharedStrings.xml><?xml version="1.0" encoding="utf-8"?>
<sst xmlns="http://schemas.openxmlformats.org/spreadsheetml/2006/main" count="959" uniqueCount="221">
  <si>
    <t>Academic Term Activity Tracker Instructions</t>
  </si>
  <si>
    <t>This workbook is intended to track course outlines, class tests, and the full question-setting / moderation / examination / grading workflow for every course in a term. It is designed for the Course Coordinator / BUGS / Department Head to review status at a glance.</t>
  </si>
  <si>
    <t>How to use this file</t>
  </si>
  <si>
    <t>1. Course List sheet</t>
  </si>
  <si>
    <t>Enter every course offered this term, its section(s), credit hours and the assigned course teacher(s) with contact details.</t>
  </si>
  <si>
    <t>2. Progress Tracker sheet</t>
  </si>
  <si>
    <t>Pick a Course Code from the dropdown in column A (it must already exist in 'Course List'); Course Title, Section and Teacher will fill in automatically. Then update Course Outline, Class Test (CT1-CT4), and the full exam workflow (question preparation -&gt; moderation -&gt; examination -&gt; script scrutiny -&gt; gradesheet preparation -&gt; gradesheet scrutiny) columns as work progresses.</t>
  </si>
  <si>
    <t>3. Status dropdowns</t>
  </si>
  <si>
    <t>Every status column is a dropdown. Click the cell and choose the current stage. Cells auto colour-code (red = not started, orange/yellow = in progress, blue = forwarded/near complete, green = fully complete) so the Department Head can scan the sheet and instantly see what needs attention.</t>
  </si>
  <si>
    <t>4. % Complete column</t>
  </si>
  <si>
    <t>Auto-calculated from how many of the 13 tracked status fields have been filled in for that course. It's a quick completion gauge, not a substitute for reading the actual statuses.</t>
  </si>
  <si>
    <t>5. Dashboard sheet</t>
  </si>
  <si>
    <t>Auto-summarises how many courses sit at each stage of the Course Outline, Class Test and Exam workflow steps, plus overall average completion, mighe be useful for a Department meeting snapshot.</t>
  </si>
  <si>
    <t>6. Lists sheet</t>
  </si>
  <si>
    <t>Hidden sheet holding the dropdown option lists. Don't delete it, or the dropdowns will break. You can reorder/extend the option text there and the colours will still apply as long as the exact wording is used in the tracker.</t>
  </si>
  <si>
    <t>Colour legend</t>
  </si>
  <si>
    <t>Red = earliest stage (not started) -&gt; Orange/Yellow = in progress -&gt; Blue = forwarded / awaiting next step -&gt; Green = completed / finalised for that stage.</t>
  </si>
  <si>
    <t>Legend swatches</t>
  </si>
  <si>
    <t>Not started</t>
  </si>
  <si>
    <t>Early progress</t>
  </si>
  <si>
    <t>In progress</t>
  </si>
  <si>
    <t>Forwarded / near complete</t>
  </si>
  <si>
    <t>Completed / finalised</t>
  </si>
  <si>
    <t>Type of Course</t>
  </si>
  <si>
    <t>SL No.</t>
  </si>
  <si>
    <t>Course Code</t>
  </si>
  <si>
    <t>Course Title</t>
  </si>
  <si>
    <t>Contact Hours</t>
  </si>
  <si>
    <t>Section</t>
  </si>
  <si>
    <t>Course Teacher 01</t>
  </si>
  <si>
    <t>Course Teacher 02</t>
  </si>
  <si>
    <t>Remarks/Notes</t>
  </si>
  <si>
    <t>Theory</t>
  </si>
  <si>
    <t>BME 101</t>
  </si>
  <si>
    <t>Introduction to Biomedical Engineering</t>
  </si>
  <si>
    <t>X</t>
  </si>
  <si>
    <t>Dr. M. Tarik Arafat</t>
  </si>
  <si>
    <t>Dr. Jahid Ferdous</t>
  </si>
  <si>
    <t>BME 201</t>
  </si>
  <si>
    <t>Biomechanics</t>
  </si>
  <si>
    <t>Mr. Md. Abdullah Al Mamun</t>
  </si>
  <si>
    <t>Ms. Srija Sarker Anannya</t>
  </si>
  <si>
    <t>BME 203</t>
  </si>
  <si>
    <t>Human Physiology</t>
  </si>
  <si>
    <t>Ms. Tasnia Binte Mamun</t>
  </si>
  <si>
    <t>Ms. Chaity Chakraborty</t>
  </si>
  <si>
    <t>BME 211</t>
  </si>
  <si>
    <t>Bioelectricity</t>
  </si>
  <si>
    <t>Mr. Samiul Based Shuvo</t>
  </si>
  <si>
    <t>Mr. Sadman Sakib Himel</t>
  </si>
  <si>
    <t>BME 205</t>
  </si>
  <si>
    <t>Biofluid Mechanics and Heat Transfer</t>
  </si>
  <si>
    <t>Mr. Shoyad Ibn Sabur Khan Nuhash</t>
  </si>
  <si>
    <t>BME  207</t>
  </si>
  <si>
    <t>Biomaterials</t>
  </si>
  <si>
    <t>Ms. Samina Nishat Binte Akram</t>
  </si>
  <si>
    <t>BME 309</t>
  </si>
  <si>
    <t>Quantitative Physiology</t>
  </si>
  <si>
    <t>Mr. Md. Tazuddin Ahmed Akash</t>
  </si>
  <si>
    <t>Ms. Omi Bonik</t>
  </si>
  <si>
    <t>BME 303</t>
  </si>
  <si>
    <t>Biomedical Instrumentation and Measurements</t>
  </si>
  <si>
    <t>Mr. Sayeed Sajjad Razin</t>
  </si>
  <si>
    <t>BME 311</t>
  </si>
  <si>
    <t>Biomedical Signals and Systems</t>
  </si>
  <si>
    <t>Dr. Taufiq Hasan</t>
  </si>
  <si>
    <t>BME 403</t>
  </si>
  <si>
    <t>Medical Imaging</t>
  </si>
  <si>
    <t>BME 409 (Elective)</t>
  </si>
  <si>
    <t>Tissue Engineering and Regenerative Medicine</t>
  </si>
  <si>
    <t>BME 449 (Elective)</t>
  </si>
  <si>
    <t>Machine Learning for Biomedical Engineers</t>
  </si>
  <si>
    <t>BME 441 (Elective)</t>
  </si>
  <si>
    <t>Neural Engineering</t>
  </si>
  <si>
    <t>Course Teacher 03</t>
  </si>
  <si>
    <t>Course Teacher 04</t>
  </si>
  <si>
    <t>Course Teacher 05</t>
  </si>
  <si>
    <t>Sessional</t>
  </si>
  <si>
    <t>BME 202</t>
  </si>
  <si>
    <t>Biomechanics Sessional</t>
  </si>
  <si>
    <t>A1</t>
  </si>
  <si>
    <t>A2</t>
  </si>
  <si>
    <t>BME 204</t>
  </si>
  <si>
    <t>Human Physiology Sessional</t>
  </si>
  <si>
    <t>BME 206</t>
  </si>
  <si>
    <t>Biofluid Mechanics and Heat Transfer Sessional</t>
  </si>
  <si>
    <t>BME 208</t>
  </si>
  <si>
    <t>Biomaterials Sessional</t>
  </si>
  <si>
    <t>BME 210</t>
  </si>
  <si>
    <t>Numerial Techniques Sessional</t>
  </si>
  <si>
    <t>BME 300</t>
  </si>
  <si>
    <t>Biomedical Engineering Design - I</t>
  </si>
  <si>
    <t>BME 304</t>
  </si>
  <si>
    <t>Biomedical Instrumentation and Measurements Sessional</t>
  </si>
  <si>
    <t>BME 310</t>
  </si>
  <si>
    <t>Communication Protocol for Biomedical Instruments Sessional</t>
  </si>
  <si>
    <t>BME 404</t>
  </si>
  <si>
    <t>Medical Imaging Sessional</t>
  </si>
  <si>
    <t>BME 400</t>
  </si>
  <si>
    <t>Thesis</t>
  </si>
  <si>
    <t>Course Outline Status</t>
  </si>
  <si>
    <t>Outline Sharing Deadline</t>
  </si>
  <si>
    <t>Shared with Students</t>
  </si>
  <si>
    <t>CT 01 Date</t>
  </si>
  <si>
    <t>CT 01 Status</t>
  </si>
  <si>
    <t>CT 02 Date</t>
  </si>
  <si>
    <t>CT 02 Status</t>
  </si>
  <si>
    <t>CT 03 Date</t>
  </si>
  <si>
    <t>CT 03 Status</t>
  </si>
  <si>
    <t>CT 04 Date</t>
  </si>
  <si>
    <t>CT 04 Status</t>
  </si>
  <si>
    <t>CT 05 Date</t>
  </si>
  <si>
    <t>CT 05 Status</t>
  </si>
  <si>
    <t>Marks Published</t>
  </si>
  <si>
    <t>18/08/2026</t>
  </si>
  <si>
    <t>Saturday, July 18, 2026</t>
  </si>
  <si>
    <t>Monday, August 17, 2026</t>
  </si>
  <si>
    <t>Scripts Under Examination</t>
  </si>
  <si>
    <t>CT Scheduled</t>
  </si>
  <si>
    <t>25/08/2026</t>
  </si>
  <si>
    <t>Tuesday, July 7, 2026</t>
  </si>
  <si>
    <t>July 21,2026</t>
  </si>
  <si>
    <t>August 17,2026</t>
  </si>
  <si>
    <t>Tuesday, July 21, 2026</t>
  </si>
  <si>
    <t>Saturday, August 22, 2026</t>
  </si>
  <si>
    <t>Type of Evaluation</t>
  </si>
  <si>
    <t>Evaluation Date</t>
  </si>
  <si>
    <t>Evaluation Status</t>
  </si>
  <si>
    <t>Continuous Assessment Quiz 01</t>
  </si>
  <si>
    <t>Evaluation Taken</t>
  </si>
  <si>
    <t>Lab Test 01</t>
  </si>
  <si>
    <t>Marks Uploaded in Excel</t>
  </si>
  <si>
    <t>Conitnuous Assessment 02</t>
  </si>
  <si>
    <t>Continuous Assessment 03</t>
  </si>
  <si>
    <t>Sunday, Auguest 23, 2026</t>
  </si>
  <si>
    <t>Continuous Assessment 01</t>
  </si>
  <si>
    <t>Marking Complete</t>
  </si>
  <si>
    <t>Student Feedback Status</t>
  </si>
  <si>
    <t>Student Reminder Start Date</t>
  </si>
  <si>
    <t>Feedback Submission Deadline</t>
  </si>
  <si>
    <t>Gradesheet Preparer</t>
  </si>
  <si>
    <t>Gradesheet Preparation Status</t>
  </si>
  <si>
    <t>Gradesheet Scrutinizer</t>
  </si>
  <si>
    <t>Gradesheet 
Scrutiny Status</t>
  </si>
  <si>
    <t>Final Gradesheet Submission to HOD Deadline</t>
  </si>
  <si>
    <t>Course Info</t>
  </si>
  <si>
    <t>Question Preparation</t>
  </si>
  <si>
    <t>Question Moderation</t>
  </si>
  <si>
    <t>Script Examination</t>
  </si>
  <si>
    <t>Script Scrutiny</t>
  </si>
  <si>
    <t>Gradesheet Preparation</t>
  </si>
  <si>
    <t>Gradesheet Scrutiny</t>
  </si>
  <si>
    <t>Question Preparer
(Sec A)</t>
  </si>
  <si>
    <t>Question Preparation
(Sec A) Status</t>
  </si>
  <si>
    <t>Question Preparer
(Sec B)</t>
  </si>
  <si>
    <t>Question Preparation
(Sec B) Status</t>
  </si>
  <si>
    <t>Question Submission Deadline</t>
  </si>
  <si>
    <t>Question Moderator 01</t>
  </si>
  <si>
    <t>QM 01 Status</t>
  </si>
  <si>
    <t>Question Moderator 02</t>
  </si>
  <si>
    <t>QM 02 Status</t>
  </si>
  <si>
    <t>Examiner (Sec A)</t>
  </si>
  <si>
    <t>Examination 
(Sec A) Status</t>
  </si>
  <si>
    <t>Examiner (Sec B)</t>
  </si>
  <si>
    <t>Examination
 (Sec B) Status</t>
  </si>
  <si>
    <t>Script Scrutinizer</t>
  </si>
  <si>
    <t>Script Scrutiny Status</t>
  </si>
  <si>
    <t>Gradesheet Scrutiny Status</t>
  </si>
  <si>
    <t>CAR/Course File Preparation Status</t>
  </si>
  <si>
    <t>CAR/Course File Preparation Deadline</t>
  </si>
  <si>
    <t>CourseOutlineStatus</t>
  </si>
  <si>
    <t>Faculty List</t>
  </si>
  <si>
    <t>CTStatus</t>
  </si>
  <si>
    <t>FeedbackStatus</t>
  </si>
  <si>
    <t>QuestionPrepStatus</t>
  </si>
  <si>
    <t>ModerationStatus</t>
  </si>
  <si>
    <t>ExaminerStatus</t>
  </si>
  <si>
    <t>ScriptScrutinyStatus</t>
  </si>
  <si>
    <t>GradesheetPrepStatus</t>
  </si>
  <si>
    <t>GradesheetScrutinyStatus</t>
  </si>
  <si>
    <t>CAR/CourseFilePrepStatus</t>
  </si>
  <si>
    <t>SessionalEvaluationType</t>
  </si>
  <si>
    <t>SessionalEvaluationStatus</t>
  </si>
  <si>
    <t>Under Preparation</t>
  </si>
  <si>
    <t>Students Reminded</t>
  </si>
  <si>
    <t>Under Moderation</t>
  </si>
  <si>
    <t>Under Examination</t>
  </si>
  <si>
    <t>Under Scrutiny</t>
  </si>
  <si>
    <t>Scheduled</t>
  </si>
  <si>
    <t>Prepared</t>
  </si>
  <si>
    <t>CT Taken</t>
  </si>
  <si>
    <t>Feedbacks Collected</t>
  </si>
  <si>
    <t>Printed</t>
  </si>
  <si>
    <t>Moderated - Needs Correction</t>
  </si>
  <si>
    <t>Examined</t>
  </si>
  <si>
    <t>Scrutinized</t>
  </si>
  <si>
    <t>Submitted</t>
  </si>
  <si>
    <t>Finalized</t>
  </si>
  <si>
    <t>Forwarded to Script Scrutinizer</t>
  </si>
  <si>
    <t>Forwarded to Gradesheet Preparer</t>
  </si>
  <si>
    <t>Uploaded in BIIS</t>
  </si>
  <si>
    <t>Uploaded in Drive</t>
  </si>
  <si>
    <t>Scripts Checked</t>
  </si>
  <si>
    <t>Forwarded to Gradesheet Scrutinizer</t>
  </si>
  <si>
    <t>Forwarded to HOD</t>
  </si>
  <si>
    <t>Continuous Assessment Quiz 02</t>
  </si>
  <si>
    <t>Continuous Assessment Viva 01</t>
  </si>
  <si>
    <t>Continuous Assessment Viva 02</t>
  </si>
  <si>
    <t>Continuous Assessment Viva 03</t>
  </si>
  <si>
    <t>Continuous Assessment Viva 04</t>
  </si>
  <si>
    <t>Continuous Assessment Viva 05</t>
  </si>
  <si>
    <t>Lab Test 02</t>
  </si>
  <si>
    <t>Lab Test 03</t>
  </si>
  <si>
    <t>Final Viva</t>
  </si>
  <si>
    <t>Final Quiz</t>
  </si>
  <si>
    <t>Presentation 01</t>
  </si>
  <si>
    <t>Presentation 02</t>
  </si>
  <si>
    <t>Demonstration 01</t>
  </si>
  <si>
    <t>Demonstration 02</t>
  </si>
  <si>
    <t>Intermediate Submissions</t>
  </si>
  <si>
    <t>Final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</si>
</sst>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[$-F800]dddd\,\ mmmm\ dd\,\ yyyy"/>
  </numFmts>
  <fonts count="22">
    <font>
      <sz val="11"/>
      <color theme="1"/>
      <name val="Calibri"/>
      <family val="2"/>
      <charset val="1"/>
    </font>
    <font>
      <b/>
      <sz val="11"/>
      <name val="Cambria"/>
      <charset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mbria"/>
      <family val="1"/>
    </font>
    <font>
      <b/>
      <sz val="11"/>
      <color theme="1"/>
      <name val="Calibri"/>
      <family val="2"/>
      <charset val="1"/>
    </font>
    <font>
      <b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sz val="9"/>
      <color rgb="FF0000FF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0"/>
      <name val="Cambria"/>
      <family val="1"/>
      <scheme val="major"/>
    </font>
    <font>
      <sz val="10"/>
      <name val="Cambria"/>
      <family val="1"/>
      <scheme val="major"/>
    </font>
    <font>
      <b/>
      <sz val="10"/>
      <color rgb="FF9C0006"/>
      <name val="Cambria"/>
      <family val="1"/>
      <scheme val="major"/>
    </font>
    <font>
      <b/>
      <sz val="10"/>
      <color rgb="FFC65911"/>
      <name val="Cambria"/>
      <family val="1"/>
      <scheme val="major"/>
    </font>
    <font>
      <b/>
      <sz val="10"/>
      <color rgb="FF9C6500"/>
      <name val="Cambria"/>
      <family val="1"/>
      <scheme val="major"/>
    </font>
    <font>
      <b/>
      <sz val="10"/>
      <color rgb="FF1F4E78"/>
      <name val="Cambria"/>
      <family val="1"/>
      <scheme val="major"/>
    </font>
    <font>
      <b/>
      <sz val="10"/>
      <color rgb="FF006100"/>
      <name val="Cambria"/>
      <family val="1"/>
      <scheme val="major"/>
    </font>
    <font>
      <sz val="10"/>
      <color rgb="FF000000"/>
      <name val="Cambria"/>
      <family val="1"/>
      <scheme val="major"/>
    </font>
    <font>
      <sz val="8"/>
      <name val="Calibri"/>
      <family val="2"/>
      <charset val="1"/>
    </font>
    <font>
      <b/>
      <sz val="9"/>
      <color rgb="FF0000FF"/>
      <name val="Cambria"/>
      <family val="1"/>
      <scheme val="major"/>
    </font>
  </fonts>
  <fills count="22">
    <fill>
      <patternFill patternType="none"/>
    </fill>
    <fill>
      <patternFill patternType="gray125"/>
    </fill>
    <fill>
      <patternFill patternType="solid">
        <fgColor rgb="FFFFC7CE"/>
        <bgColor rgb="FFF8CBAD"/>
      </patternFill>
    </fill>
    <fill>
      <patternFill patternType="solid">
        <fgColor rgb="FFF8CBAD"/>
        <bgColor rgb="FFFFC7CE"/>
      </patternFill>
    </fill>
    <fill>
      <patternFill patternType="solid">
        <fgColor rgb="FFFFEB9C"/>
        <bgColor rgb="FFFFF2CC"/>
      </patternFill>
    </fill>
    <fill>
      <patternFill patternType="solid">
        <fgColor rgb="FFBDD7EE"/>
        <bgColor rgb="FFD9E1F2"/>
      </patternFill>
    </fill>
    <fill>
      <patternFill patternType="solid">
        <fgColor rgb="FFC6EFCE"/>
        <bgColor rgb="FFD9E1F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rgb="FFBDD7EE"/>
      </patternFill>
    </fill>
    <fill>
      <patternFill patternType="solid">
        <fgColor theme="4" tint="0.79998168889431442"/>
        <bgColor rgb="FF003366"/>
      </patternFill>
    </fill>
    <fill>
      <patternFill patternType="solid">
        <fgColor theme="3" tint="0.79998168889431442"/>
        <bgColor rgb="FFBDD7EE"/>
      </patternFill>
    </fill>
    <fill>
      <patternFill patternType="solid">
        <fgColor theme="3" tint="0.79998168889431442"/>
        <bgColor rgb="FF003366"/>
      </patternFill>
    </fill>
    <fill>
      <patternFill patternType="solid">
        <fgColor theme="7" tint="0.79998168889431442"/>
        <bgColor rgb="FFBDD7EE"/>
      </patternFill>
    </fill>
    <fill>
      <patternFill patternType="solid">
        <fgColor theme="7" tint="0.79998168889431442"/>
        <bgColor rgb="FF003366"/>
      </patternFill>
    </fill>
    <fill>
      <patternFill patternType="solid">
        <fgColor theme="6" tint="0.59999389629810485"/>
        <bgColor rgb="FF003366"/>
      </patternFill>
    </fill>
    <fill>
      <patternFill patternType="solid">
        <fgColor theme="5" tint="0.79998168889431442"/>
        <bgColor rgb="FFBDD7EE"/>
      </patternFill>
    </fill>
    <fill>
      <patternFill patternType="solid">
        <fgColor theme="5" tint="0.79998168889431442"/>
        <bgColor rgb="FF003366"/>
      </patternFill>
    </fill>
    <fill>
      <patternFill patternType="solid">
        <fgColor theme="2" tint="-9.9978637043366805E-2"/>
        <bgColor rgb="FFBDD7E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rgb="FF00336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2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1"/>
      </right>
      <top/>
      <bottom style="thin">
        <color theme="0" tint="-0.249977111117893"/>
      </bottom>
      <diagonal/>
    </border>
    <border>
      <left/>
      <right style="thin">
        <color theme="1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theme="1"/>
      </right>
      <top style="thin">
        <color rgb="FFB7B7B7"/>
      </top>
      <bottom style="thin">
        <color rgb="FFB7B7B7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rgb="FFB7B7B7"/>
      </top>
      <bottom style="thin">
        <color rgb="FFB7B7B7"/>
      </bottom>
      <diagonal/>
    </border>
    <border>
      <left style="thin">
        <color theme="1"/>
      </left>
      <right style="medium">
        <color theme="1"/>
      </right>
      <top style="thin">
        <color rgb="FFB7B7B7"/>
      </top>
      <bottom style="thin">
        <color rgb="FFB7B7B7"/>
      </bottom>
      <diagonal/>
    </border>
    <border>
      <left style="medium">
        <color theme="1"/>
      </left>
      <right style="thin">
        <color theme="1"/>
      </right>
      <top style="thin">
        <color rgb="FFB7B7B7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rgb="FFB7B7B7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rgb="FFB7B7B7"/>
      </bottom>
      <diagonal/>
    </border>
    <border>
      <left style="thin">
        <color theme="1"/>
      </left>
      <right style="medium">
        <color theme="1"/>
      </right>
      <top/>
      <bottom style="thin">
        <color rgb="FFB7B7B7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rgb="FFB7B7B7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rgb="FFB7B7B7"/>
      </bottom>
      <diagonal/>
    </border>
    <border>
      <left/>
      <right style="medium">
        <color theme="1"/>
      </right>
      <top style="medium">
        <color theme="1"/>
      </top>
      <bottom style="thin">
        <color rgb="FFB7B7B7"/>
      </bottom>
      <diagonal/>
    </border>
    <border>
      <left/>
      <right style="medium">
        <color theme="1"/>
      </right>
      <top style="thin">
        <color rgb="FFB7B7B7"/>
      </top>
      <bottom style="thin">
        <color rgb="FFB7B7B7"/>
      </bottom>
      <diagonal/>
    </border>
    <border>
      <left/>
      <right style="medium">
        <color theme="1"/>
      </right>
      <top style="thin">
        <color rgb="FFB7B7B7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rgb="FFB7B7B7"/>
      </bottom>
      <diagonal/>
    </border>
    <border>
      <left style="medium">
        <color theme="1"/>
      </left>
      <right style="medium">
        <color theme="1"/>
      </right>
      <top style="thin">
        <color rgb="FFB7B7B7"/>
      </top>
      <bottom style="thin">
        <color rgb="FFB7B7B7"/>
      </bottom>
      <diagonal/>
    </border>
    <border>
      <left style="medium">
        <color theme="1"/>
      </left>
      <right style="medium">
        <color theme="1"/>
      </right>
      <top style="thin">
        <color rgb="FFB7B7B7"/>
      </top>
      <bottom style="medium">
        <color theme="1"/>
      </bottom>
      <diagonal/>
    </border>
    <border>
      <left/>
      <right style="medium">
        <color theme="1"/>
      </right>
      <top/>
      <bottom style="thin">
        <color rgb="FFB7B7B7"/>
      </bottom>
      <diagonal/>
    </border>
    <border>
      <left/>
      <right style="thin">
        <color theme="1"/>
      </right>
      <top style="thin">
        <color rgb="FFB7B7B7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0" tint="-0.249977111117893"/>
      </bottom>
      <diagonal/>
    </border>
    <border>
      <left style="medium">
        <color theme="1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medium">
        <color theme="1"/>
      </right>
      <top style="thin">
        <color theme="0" tint="-0.249977111117893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thin">
        <color rgb="FFB7B7B7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0" tint="-0.249977111117893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rgb="FFB7B7B7"/>
      </top>
      <bottom/>
      <diagonal/>
    </border>
    <border>
      <left style="medium">
        <color theme="1"/>
      </left>
      <right style="medium">
        <color theme="1"/>
      </right>
      <top/>
      <bottom style="thin">
        <color rgb="FFB7B7B7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0" tint="-0.249977111117893"/>
      </bottom>
      <diagonal/>
    </border>
    <border>
      <left style="medium">
        <color theme="1"/>
      </left>
      <right style="medium">
        <color theme="1"/>
      </right>
      <top style="thin">
        <color theme="0" tint="-0.249977111117893"/>
      </top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/>
      <right style="medium">
        <color theme="1"/>
      </right>
      <top/>
      <bottom style="thin">
        <color theme="0" tint="-0.249977111117893"/>
      </bottom>
      <diagonal/>
    </border>
    <border>
      <left/>
      <right style="medium">
        <color theme="1"/>
      </right>
      <top style="thin">
        <color theme="0" tint="-0.249977111117893"/>
      </top>
      <bottom style="thin">
        <color theme="1"/>
      </bottom>
      <diagonal/>
    </border>
    <border>
      <left/>
      <right style="medium">
        <color theme="1"/>
      </right>
      <top style="thin">
        <color rgb="FFB7B7B7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0" tint="-0.249977111117893"/>
      </bottom>
      <diagonal/>
    </border>
    <border>
      <left/>
      <right/>
      <top style="medium">
        <color theme="1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0" tint="-0.249977111117893"/>
      </bottom>
      <diagonal/>
    </border>
    <border>
      <left/>
      <right style="thin">
        <color theme="1"/>
      </right>
      <top style="medium">
        <color theme="1"/>
      </top>
      <bottom style="thin">
        <color theme="0" tint="-0.249977111117893"/>
      </bottom>
      <diagonal/>
    </border>
    <border>
      <left style="medium">
        <color theme="1"/>
      </left>
      <right style="thin">
        <color theme="1"/>
      </right>
      <top style="thin">
        <color theme="0" tint="-0.249977111117893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0" tint="-0.249977111117893"/>
      </bottom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/>
      <bottom style="thin">
        <color rgb="FFB7B7B7"/>
      </bottom>
      <diagonal/>
    </border>
    <border>
      <left style="medium">
        <color theme="1"/>
      </left>
      <right style="thin">
        <color indexed="64"/>
      </right>
      <top style="thin">
        <color rgb="FFB7B7B7"/>
      </top>
      <bottom style="thin">
        <color rgb="FFB7B7B7"/>
      </bottom>
      <diagonal/>
    </border>
    <border>
      <left style="medium">
        <color theme="1"/>
      </left>
      <right style="thin">
        <color indexed="64"/>
      </right>
      <top style="thin">
        <color rgb="FFB7B7B7"/>
      </top>
      <bottom style="medium">
        <color theme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1"/>
      </bottom>
      <diagonal/>
    </border>
    <border>
      <left/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1"/>
      </right>
      <top style="thin">
        <color theme="0" tint="-0.249977111117893"/>
      </top>
      <bottom style="medium">
        <color theme="1"/>
      </bottom>
      <diagonal/>
    </border>
    <border>
      <left/>
      <right style="medium">
        <color theme="1"/>
      </right>
      <top style="thin">
        <color theme="0" tint="-0.249977111117893"/>
      </top>
      <bottom/>
      <diagonal/>
    </border>
    <border>
      <left/>
      <right/>
      <top style="medium">
        <color theme="1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0" tint="-0.249977111117893"/>
      </top>
      <bottom/>
      <diagonal/>
    </border>
    <border>
      <left style="medium">
        <color theme="1"/>
      </left>
      <right style="thin">
        <color theme="1"/>
      </right>
      <top style="thin">
        <color rgb="FFB7B7B7"/>
      </top>
      <bottom style="thin">
        <color theme="1"/>
      </bottom>
      <diagonal/>
    </border>
    <border>
      <left/>
      <right/>
      <top style="thin">
        <color theme="0" tint="-0.249977111117893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rgb="FFB7B7B7"/>
      </top>
      <bottom style="thin">
        <color rgb="FFB7B7B7"/>
      </bottom>
      <diagonal/>
    </border>
    <border>
      <left style="thin">
        <color theme="1"/>
      </left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1"/>
      </right>
      <top style="thin">
        <color theme="0" tint="-0.249977111117893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rgb="FFB7B7B7"/>
      </bottom>
      <diagonal/>
    </border>
    <border>
      <left style="thin">
        <color theme="1"/>
      </left>
      <right style="thin">
        <color theme="1"/>
      </right>
      <top style="thin">
        <color rgb="FFB7B7B7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 tint="-0.249977111117893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 style="thin">
        <color theme="0" tint="-0.249977111117893"/>
      </top>
      <bottom/>
      <diagonal/>
    </border>
    <border>
      <left style="medium">
        <color theme="1"/>
      </left>
      <right/>
      <top style="thin">
        <color rgb="FFB7B7B7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1"/>
      </right>
      <top style="thin">
        <color theme="0" tint="-0.249977111117893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rgb="FFB7B7B7"/>
      </bottom>
      <diagonal/>
    </border>
    <border>
      <left style="medium">
        <color theme="1"/>
      </left>
      <right/>
      <top style="thin">
        <color rgb="FFB7B7B7"/>
      </top>
      <bottom style="thin">
        <color rgb="FFB7B7B7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rgb="FFB7B7B7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0" tint="-0.249977111117893"/>
      </bottom>
      <diagonal/>
    </border>
    <border>
      <left style="thin">
        <color theme="1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theme="0" tint="-0.249977111117893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0" tint="-0.249977111117893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rgb="FF000000"/>
      </left>
      <right style="thin">
        <color rgb="FFB7B7B7"/>
      </right>
      <top style="medium">
        <color rgb="FF000000"/>
      </top>
      <bottom style="medium">
        <color theme="1"/>
      </bottom>
      <diagonal/>
    </border>
    <border>
      <left style="thin">
        <color rgb="FFB7B7B7"/>
      </left>
      <right style="thin">
        <color rgb="FFB7B7B7"/>
      </right>
      <top style="medium">
        <color rgb="FF000000"/>
      </top>
      <bottom style="medium">
        <color theme="1"/>
      </bottom>
      <diagonal/>
    </border>
    <border>
      <left style="thin">
        <color rgb="FFB7B7B7"/>
      </left>
      <right style="medium">
        <color rgb="FF000000"/>
      </right>
      <top style="medium">
        <color rgb="FF000000"/>
      </top>
      <bottom style="medium">
        <color theme="1"/>
      </bottom>
      <diagonal/>
    </border>
    <border>
      <left style="medium">
        <color rgb="FF000000"/>
      </left>
      <right style="thin">
        <color theme="1"/>
      </right>
      <top style="medium">
        <color theme="1"/>
      </top>
      <bottom style="medium">
        <color rgb="FF000000"/>
      </bottom>
      <diagonal/>
    </border>
    <border>
      <left/>
      <right style="medium">
        <color theme="1"/>
      </right>
      <top style="medium">
        <color theme="1"/>
      </top>
      <bottom style="medium">
        <color rgb="FF000000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rgb="FF000000"/>
      </bottom>
      <diagonal/>
    </border>
    <border>
      <left/>
      <right style="medium">
        <color rgb="FF000000"/>
      </right>
      <top style="medium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0" tint="-0.249977111117893"/>
      </top>
      <bottom/>
      <diagonal/>
    </border>
    <border>
      <left style="thin">
        <color theme="1"/>
      </left>
      <right style="medium">
        <color theme="1"/>
      </right>
      <top/>
      <bottom style="thin">
        <color theme="0" tint="-0.249977111117893"/>
      </bottom>
      <diagonal/>
    </border>
    <border>
      <left style="thin">
        <color theme="1"/>
      </left>
      <right style="thin">
        <color theme="1"/>
      </right>
      <top style="thin">
        <color theme="0" tint="-0.249977111117893"/>
      </top>
      <bottom/>
      <diagonal/>
    </border>
    <border>
      <left style="thin">
        <color theme="1"/>
      </left>
      <right style="thin">
        <color theme="1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42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textRotation="90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4" fillId="0" borderId="0" xfId="0" applyFont="1"/>
    <xf numFmtId="0" fontId="3" fillId="0" borderId="2" xfId="0" applyFont="1" applyBorder="1" applyAlignment="1">
      <alignment vertical="center" textRotation="90"/>
    </xf>
    <xf numFmtId="0" fontId="3" fillId="0" borderId="3" xfId="0" applyFont="1" applyBorder="1" applyAlignment="1">
      <alignment vertical="center" textRotation="90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2" fillId="0" borderId="0" xfId="0" applyFont="1" applyAlignment="1">
      <alignment horizontal="center" vertical="center"/>
    </xf>
    <xf numFmtId="0" fontId="5" fillId="0" borderId="0" xfId="0" applyFont="1"/>
    <xf numFmtId="0" fontId="7" fillId="0" borderId="8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164" fontId="9" fillId="0" borderId="21" xfId="0" applyNumberFormat="1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65" fontId="8" fillId="0" borderId="21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164" fontId="8" fillId="0" borderId="9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5" fontId="8" fillId="0" borderId="9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164" fontId="8" fillId="0" borderId="11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65" fontId="8" fillId="0" borderId="11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9" borderId="15" xfId="0" applyFont="1" applyFill="1" applyBorder="1" applyAlignment="1">
      <alignment horizontal="left" vertical="center" wrapText="1"/>
    </xf>
    <xf numFmtId="0" fontId="6" fillId="9" borderId="16" xfId="0" applyFont="1" applyFill="1" applyBorder="1" applyAlignment="1">
      <alignment horizontal="left" vertical="center" wrapText="1"/>
    </xf>
    <xf numFmtId="0" fontId="6" fillId="13" borderId="15" xfId="0" applyFont="1" applyFill="1" applyBorder="1" applyAlignment="1">
      <alignment horizontal="center" vertical="center" wrapText="1"/>
    </xf>
    <xf numFmtId="0" fontId="6" fillId="13" borderId="20" xfId="0" applyFont="1" applyFill="1" applyBorder="1" applyAlignment="1">
      <alignment horizontal="center" vertical="center" wrapText="1"/>
    </xf>
    <xf numFmtId="0" fontId="6" fillId="14" borderId="15" xfId="0" applyFont="1" applyFill="1" applyBorder="1" applyAlignment="1">
      <alignment horizontal="center" vertical="center" wrapText="1"/>
    </xf>
    <xf numFmtId="0" fontId="6" fillId="14" borderId="20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4" fillId="2" borderId="1" xfId="0" applyFont="1" applyFill="1" applyBorder="1" applyAlignment="1">
      <alignment vertical="center"/>
    </xf>
    <xf numFmtId="0" fontId="15" fillId="3" borderId="1" xfId="0" applyFont="1" applyFill="1" applyBorder="1" applyAlignment="1">
      <alignment vertical="center"/>
    </xf>
    <xf numFmtId="0" fontId="16" fillId="4" borderId="1" xfId="0" applyFont="1" applyFill="1" applyBorder="1" applyAlignment="1">
      <alignment vertical="center"/>
    </xf>
    <xf numFmtId="0" fontId="17" fillId="5" borderId="1" xfId="0" applyFont="1" applyFill="1" applyBorder="1" applyAlignment="1">
      <alignment vertical="center"/>
    </xf>
    <xf numFmtId="0" fontId="18" fillId="6" borderId="1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1" fillId="0" borderId="0" xfId="0" applyFont="1"/>
    <xf numFmtId="0" fontId="10" fillId="0" borderId="3" xfId="0" applyFont="1" applyBorder="1" applyAlignment="1">
      <alignment vertical="center" textRotation="90"/>
    </xf>
    <xf numFmtId="0" fontId="10" fillId="0" borderId="3" xfId="0" applyFont="1" applyBorder="1" applyAlignment="1">
      <alignment vertical="center"/>
    </xf>
    <xf numFmtId="0" fontId="19" fillId="0" borderId="3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0" fillId="0" borderId="2" xfId="0" applyFont="1" applyBorder="1" applyAlignment="1">
      <alignment vertical="center" textRotation="90"/>
    </xf>
    <xf numFmtId="0" fontId="10" fillId="0" borderId="2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9" fillId="0" borderId="2" xfId="0" applyFont="1" applyBorder="1" applyAlignment="1">
      <alignment vertical="center" wrapText="1"/>
    </xf>
    <xf numFmtId="0" fontId="19" fillId="0" borderId="2" xfId="0" applyFont="1" applyBorder="1" applyAlignment="1">
      <alignment horizontal="center" vertical="center"/>
    </xf>
    <xf numFmtId="0" fontId="11" fillId="0" borderId="0" xfId="0" applyFont="1" applyAlignment="1">
      <alignment vertical="center" textRotation="90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0" fillId="0" borderId="3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left" vertical="center"/>
    </xf>
    <xf numFmtId="0" fontId="19" fillId="0" borderId="36" xfId="0" applyFont="1" applyBorder="1" applyAlignment="1">
      <alignment horizontal="left" vertical="center"/>
    </xf>
    <xf numFmtId="0" fontId="19" fillId="0" borderId="36" xfId="0" applyFont="1" applyBorder="1" applyAlignment="1">
      <alignment horizontal="left" vertical="center" wrapText="1"/>
    </xf>
    <xf numFmtId="0" fontId="19" fillId="0" borderId="37" xfId="0" applyFont="1" applyBorder="1" applyAlignment="1">
      <alignment horizontal="left" vertical="center" wrapText="1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6" xfId="0" applyFont="1" applyBorder="1" applyAlignment="1">
      <alignment vertical="center"/>
    </xf>
    <xf numFmtId="0" fontId="10" fillId="0" borderId="27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0" fontId="10" fillId="0" borderId="36" xfId="0" applyFont="1" applyBorder="1" applyAlignment="1">
      <alignment vertical="center"/>
    </xf>
    <xf numFmtId="0" fontId="10" fillId="0" borderId="44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1" fillId="0" borderId="27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0" fontId="10" fillId="0" borderId="33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0" fillId="0" borderId="18" xfId="0" applyFont="1" applyBorder="1" applyAlignment="1">
      <alignment horizontal="left" vertical="center"/>
    </xf>
    <xf numFmtId="0" fontId="10" fillId="0" borderId="18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49" xfId="0" applyFont="1" applyBorder="1" applyAlignment="1">
      <alignment vertical="center"/>
    </xf>
    <xf numFmtId="0" fontId="10" fillId="7" borderId="4" xfId="0" applyFont="1" applyFill="1" applyBorder="1" applyAlignment="1">
      <alignment vertical="center"/>
    </xf>
    <xf numFmtId="0" fontId="10" fillId="7" borderId="42" xfId="0" applyFont="1" applyFill="1" applyBorder="1" applyAlignment="1">
      <alignment vertical="center"/>
    </xf>
    <xf numFmtId="0" fontId="10" fillId="7" borderId="49" xfId="0" applyFont="1" applyFill="1" applyBorder="1" applyAlignment="1">
      <alignment vertical="center"/>
    </xf>
    <xf numFmtId="0" fontId="10" fillId="7" borderId="18" xfId="0" applyFont="1" applyFill="1" applyBorder="1" applyAlignment="1">
      <alignment vertical="center"/>
    </xf>
    <xf numFmtId="0" fontId="10" fillId="0" borderId="23" xfId="0" applyFont="1" applyBorder="1" applyAlignment="1">
      <alignment vertical="center" wrapText="1"/>
    </xf>
    <xf numFmtId="0" fontId="10" fillId="0" borderId="51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11" fillId="0" borderId="51" xfId="0" applyFont="1" applyBorder="1" applyAlignment="1">
      <alignment vertical="center"/>
    </xf>
    <xf numFmtId="0" fontId="11" fillId="0" borderId="29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0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55" xfId="0" applyFont="1" applyBorder="1" applyAlignment="1">
      <alignment vertical="center"/>
    </xf>
    <xf numFmtId="0" fontId="10" fillId="0" borderId="56" xfId="0" applyFont="1" applyBorder="1" applyAlignment="1">
      <alignment vertical="center"/>
    </xf>
    <xf numFmtId="0" fontId="10" fillId="7" borderId="56" xfId="0" applyFont="1" applyFill="1" applyBorder="1" applyAlignment="1">
      <alignment vertical="center"/>
    </xf>
    <xf numFmtId="0" fontId="10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0" fillId="0" borderId="59" xfId="0" applyFont="1" applyBorder="1" applyAlignment="1">
      <alignment vertical="center"/>
    </xf>
    <xf numFmtId="0" fontId="10" fillId="0" borderId="60" xfId="0" applyFont="1" applyBorder="1" applyAlignment="1">
      <alignment vertical="center"/>
    </xf>
    <xf numFmtId="0" fontId="10" fillId="7" borderId="60" xfId="0" applyFont="1" applyFill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/>
    </xf>
    <xf numFmtId="0" fontId="6" fillId="9" borderId="20" xfId="0" applyFont="1" applyFill="1" applyBorder="1" applyAlignment="1">
      <alignment horizontal="center" vertical="center" wrapText="1"/>
    </xf>
    <xf numFmtId="0" fontId="8" fillId="0" borderId="29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65" xfId="0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0" fillId="0" borderId="46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6" fillId="9" borderId="39" xfId="0" applyFont="1" applyFill="1" applyBorder="1" applyAlignment="1">
      <alignment horizontal="center" vertical="center" wrapText="1"/>
    </xf>
    <xf numFmtId="0" fontId="8" fillId="0" borderId="72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6" fillId="0" borderId="62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76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0" borderId="84" xfId="0" applyFont="1" applyBorder="1" applyAlignment="1">
      <alignment horizontal="left" vertical="center"/>
    </xf>
    <xf numFmtId="0" fontId="8" fillId="0" borderId="51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19" fillId="0" borderId="76" xfId="0" applyFont="1" applyBorder="1" applyAlignment="1">
      <alignment horizontal="center" vertical="center"/>
    </xf>
    <xf numFmtId="0" fontId="10" fillId="0" borderId="76" xfId="0" applyFont="1" applyBorder="1" applyAlignment="1">
      <alignment horizontal="left" vertical="center"/>
    </xf>
    <xf numFmtId="0" fontId="10" fillId="0" borderId="76" xfId="0" applyFont="1" applyBorder="1" applyAlignment="1">
      <alignment horizontal="center" vertical="center"/>
    </xf>
    <xf numFmtId="0" fontId="6" fillId="9" borderId="20" xfId="0" applyFont="1" applyFill="1" applyBorder="1" applyAlignment="1">
      <alignment horizontal="left" vertical="center" wrapText="1"/>
    </xf>
    <xf numFmtId="0" fontId="10" fillId="7" borderId="75" xfId="0" applyFont="1" applyFill="1" applyBorder="1" applyAlignment="1">
      <alignment horizontal="left" vertical="center"/>
    </xf>
    <xf numFmtId="0" fontId="6" fillId="9" borderId="87" xfId="0" applyFont="1" applyFill="1" applyBorder="1" applyAlignment="1">
      <alignment horizontal="left" vertical="center" wrapText="1"/>
    </xf>
    <xf numFmtId="0" fontId="8" fillId="0" borderId="88" xfId="0" applyFont="1" applyBorder="1" applyAlignment="1">
      <alignment horizontal="left" vertical="center"/>
    </xf>
    <xf numFmtId="0" fontId="10" fillId="7" borderId="89" xfId="0" applyFont="1" applyFill="1" applyBorder="1" applyAlignment="1">
      <alignment horizontal="left" vertical="center"/>
    </xf>
    <xf numFmtId="0" fontId="10" fillId="0" borderId="90" xfId="0" applyFont="1" applyBorder="1" applyAlignment="1">
      <alignment vertical="center"/>
    </xf>
    <xf numFmtId="0" fontId="10" fillId="0" borderId="91" xfId="0" applyFont="1" applyBorder="1" applyAlignment="1">
      <alignment vertical="center"/>
    </xf>
    <xf numFmtId="0" fontId="10" fillId="7" borderId="90" xfId="0" applyFont="1" applyFill="1" applyBorder="1" applyAlignment="1">
      <alignment vertical="center"/>
    </xf>
    <xf numFmtId="0" fontId="10" fillId="7" borderId="91" xfId="0" applyFont="1" applyFill="1" applyBorder="1" applyAlignment="1">
      <alignment vertical="center"/>
    </xf>
    <xf numFmtId="0" fontId="8" fillId="0" borderId="92" xfId="0" applyFont="1" applyBorder="1" applyAlignment="1">
      <alignment horizontal="left" vertical="center"/>
    </xf>
    <xf numFmtId="0" fontId="10" fillId="7" borderId="86" xfId="0" applyFont="1" applyFill="1" applyBorder="1" applyAlignment="1">
      <alignment horizontal="left" vertical="center"/>
    </xf>
    <xf numFmtId="0" fontId="10" fillId="7" borderId="52" xfId="0" applyFont="1" applyFill="1" applyBorder="1" applyAlignment="1">
      <alignment horizontal="left" vertical="center"/>
    </xf>
    <xf numFmtId="0" fontId="8" fillId="0" borderId="93" xfId="0" applyFont="1" applyBorder="1" applyAlignment="1">
      <alignment horizontal="left" vertical="center"/>
    </xf>
    <xf numFmtId="0" fontId="10" fillId="7" borderId="94" xfId="0" applyFont="1" applyFill="1" applyBorder="1" applyAlignment="1">
      <alignment horizontal="left" vertical="center"/>
    </xf>
    <xf numFmtId="0" fontId="10" fillId="7" borderId="50" xfId="0" applyFont="1" applyFill="1" applyBorder="1" applyAlignment="1">
      <alignment horizontal="left" vertical="center"/>
    </xf>
    <xf numFmtId="0" fontId="10" fillId="0" borderId="85" xfId="0" applyFont="1" applyBorder="1" applyAlignment="1">
      <alignment horizontal="left" vertical="center"/>
    </xf>
    <xf numFmtId="0" fontId="8" fillId="0" borderId="53" xfId="0" applyFont="1" applyBorder="1" applyAlignment="1">
      <alignment horizontal="left" vertical="center"/>
    </xf>
    <xf numFmtId="0" fontId="8" fillId="0" borderId="54" xfId="0" applyFont="1" applyBorder="1" applyAlignment="1">
      <alignment horizontal="left" vertical="center"/>
    </xf>
    <xf numFmtId="0" fontId="10" fillId="0" borderId="95" xfId="0" applyFont="1" applyBorder="1" applyAlignment="1">
      <alignment vertical="center"/>
    </xf>
    <xf numFmtId="0" fontId="10" fillId="7" borderId="17" xfId="0" applyFont="1" applyFill="1" applyBorder="1" applyAlignment="1">
      <alignment vertical="center"/>
    </xf>
    <xf numFmtId="0" fontId="10" fillId="0" borderId="96" xfId="0" applyFont="1" applyBorder="1" applyAlignment="1">
      <alignment vertical="center"/>
    </xf>
    <xf numFmtId="0" fontId="10" fillId="7" borderId="77" xfId="0" applyFont="1" applyFill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6" fillId="0" borderId="8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8" fillId="0" borderId="53" xfId="0" applyFont="1" applyBorder="1" applyAlignment="1">
      <alignment horizontal="left" vertical="center" wrapText="1"/>
    </xf>
    <xf numFmtId="0" fontId="8" fillId="0" borderId="72" xfId="0" applyFont="1" applyBorder="1" applyAlignment="1">
      <alignment horizontal="left" vertical="center" wrapText="1"/>
    </xf>
    <xf numFmtId="0" fontId="8" fillId="0" borderId="54" xfId="0" applyFont="1" applyBorder="1" applyAlignment="1">
      <alignment horizontal="left" vertical="center" wrapText="1"/>
    </xf>
    <xf numFmtId="0" fontId="10" fillId="0" borderId="85" xfId="0" applyFont="1" applyBorder="1" applyAlignment="1">
      <alignment horizontal="left" vertical="center" wrapText="1"/>
    </xf>
    <xf numFmtId="0" fontId="10" fillId="7" borderId="78" xfId="0" applyFont="1" applyFill="1" applyBorder="1" applyAlignment="1">
      <alignment horizontal="left" vertical="center"/>
    </xf>
    <xf numFmtId="0" fontId="10" fillId="7" borderId="79" xfId="0" applyFont="1" applyFill="1" applyBorder="1" applyAlignment="1">
      <alignment horizontal="left" vertical="center"/>
    </xf>
    <xf numFmtId="0" fontId="10" fillId="7" borderId="74" xfId="0" applyFont="1" applyFill="1" applyBorder="1" applyAlignment="1">
      <alignment horizontal="left" vertical="center"/>
    </xf>
    <xf numFmtId="0" fontId="10" fillId="7" borderId="73" xfId="0" applyFont="1" applyFill="1" applyBorder="1" applyAlignment="1">
      <alignment vertical="center"/>
    </xf>
    <xf numFmtId="0" fontId="10" fillId="7" borderId="80" xfId="0" applyFont="1" applyFill="1" applyBorder="1" applyAlignment="1">
      <alignment vertical="center"/>
    </xf>
    <xf numFmtId="0" fontId="10" fillId="0" borderId="73" xfId="0" applyFont="1" applyBorder="1" applyAlignment="1">
      <alignment vertical="center"/>
    </xf>
    <xf numFmtId="0" fontId="10" fillId="7" borderId="19" xfId="0" applyFont="1" applyFill="1" applyBorder="1" applyAlignment="1">
      <alignment vertical="center"/>
    </xf>
    <xf numFmtId="0" fontId="6" fillId="0" borderId="38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164" fontId="11" fillId="0" borderId="0" xfId="0" applyNumberFormat="1" applyFont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18" borderId="15" xfId="0" applyFont="1" applyFill="1" applyBorder="1" applyAlignment="1">
      <alignment horizontal="center" vertical="center" wrapText="1"/>
    </xf>
    <xf numFmtId="0" fontId="6" fillId="18" borderId="20" xfId="0" applyFont="1" applyFill="1" applyBorder="1" applyAlignment="1">
      <alignment horizontal="center" vertical="center" wrapText="1"/>
    </xf>
    <xf numFmtId="0" fontId="6" fillId="11" borderId="15" xfId="0" applyFont="1" applyFill="1" applyBorder="1" applyAlignment="1">
      <alignment horizontal="center" vertical="center" wrapText="1"/>
    </xf>
    <xf numFmtId="0" fontId="6" fillId="11" borderId="20" xfId="0" applyFont="1" applyFill="1" applyBorder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  <xf numFmtId="0" fontId="6" fillId="16" borderId="15" xfId="0" applyFont="1" applyFill="1" applyBorder="1" applyAlignment="1">
      <alignment horizontal="center" vertical="center" wrapText="1"/>
    </xf>
    <xf numFmtId="0" fontId="6" fillId="16" borderId="20" xfId="0" applyFont="1" applyFill="1" applyBorder="1" applyAlignment="1">
      <alignment horizontal="center" vertical="center" wrapText="1"/>
    </xf>
    <xf numFmtId="0" fontId="6" fillId="18" borderId="39" xfId="0" applyFont="1" applyFill="1" applyBorder="1" applyAlignment="1">
      <alignment horizontal="center" vertical="center" wrapText="1"/>
    </xf>
    <xf numFmtId="164" fontId="8" fillId="0" borderId="55" xfId="0" applyNumberFormat="1" applyFont="1" applyBorder="1" applyAlignment="1">
      <alignment horizontal="center" vertical="center"/>
    </xf>
    <xf numFmtId="164" fontId="8" fillId="0" borderId="99" xfId="0" applyNumberFormat="1" applyFont="1" applyBorder="1" applyAlignment="1">
      <alignment horizontal="center" vertical="center"/>
    </xf>
    <xf numFmtId="164" fontId="8" fillId="0" borderId="57" xfId="0" applyNumberFormat="1" applyFont="1" applyBorder="1" applyAlignment="1">
      <alignment horizontal="center" vertical="center"/>
    </xf>
    <xf numFmtId="164" fontId="8" fillId="0" borderId="100" xfId="0" applyNumberFormat="1" applyFont="1" applyBorder="1" applyAlignment="1">
      <alignment horizontal="center" vertical="center"/>
    </xf>
    <xf numFmtId="165" fontId="9" fillId="0" borderId="35" xfId="0" applyNumberFormat="1" applyFont="1" applyBorder="1" applyAlignment="1">
      <alignment vertical="center" textRotation="90"/>
    </xf>
    <xf numFmtId="165" fontId="9" fillId="0" borderId="36" xfId="0" applyNumberFormat="1" applyFont="1" applyBorder="1" applyAlignment="1">
      <alignment vertical="center" textRotation="90"/>
    </xf>
    <xf numFmtId="165" fontId="9" fillId="0" borderId="37" xfId="0" applyNumberFormat="1" applyFont="1" applyBorder="1" applyAlignment="1">
      <alignment vertical="center" textRotation="90"/>
    </xf>
    <xf numFmtId="165" fontId="9" fillId="0" borderId="47" xfId="0" applyNumberFormat="1" applyFont="1" applyBorder="1" applyAlignment="1">
      <alignment vertical="center" textRotation="90"/>
    </xf>
    <xf numFmtId="0" fontId="6" fillId="0" borderId="8" xfId="0" applyFont="1" applyBorder="1" applyAlignment="1">
      <alignment horizontal="center" vertical="center" wrapText="1"/>
    </xf>
    <xf numFmtId="0" fontId="6" fillId="19" borderId="8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vertical="center" wrapText="1"/>
    </xf>
    <xf numFmtId="0" fontId="10" fillId="0" borderId="0" xfId="0" applyFont="1" applyAlignment="1">
      <alignment vertical="center" textRotation="90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6" fillId="0" borderId="8" xfId="0" applyFont="1" applyBorder="1" applyAlignment="1">
      <alignment horizontal="center" vertical="center"/>
    </xf>
    <xf numFmtId="0" fontId="6" fillId="9" borderId="41" xfId="0" applyFont="1" applyFill="1" applyBorder="1" applyAlignment="1">
      <alignment horizontal="center" vertical="center" wrapText="1"/>
    </xf>
    <xf numFmtId="0" fontId="10" fillId="7" borderId="78" xfId="0" applyFont="1" applyFill="1" applyBorder="1" applyAlignment="1">
      <alignment vertical="center"/>
    </xf>
    <xf numFmtId="0" fontId="10" fillId="7" borderId="74" xfId="0" applyFont="1" applyFill="1" applyBorder="1" applyAlignment="1">
      <alignment vertical="center"/>
    </xf>
    <xf numFmtId="0" fontId="10" fillId="0" borderId="74" xfId="0" applyFont="1" applyBorder="1" applyAlignment="1">
      <alignment vertical="center"/>
    </xf>
    <xf numFmtId="0" fontId="11" fillId="0" borderId="33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2" xfId="0" applyBorder="1"/>
    <xf numFmtId="0" fontId="10" fillId="0" borderId="101" xfId="0" applyFont="1" applyBorder="1" applyAlignment="1">
      <alignment vertical="center"/>
    </xf>
    <xf numFmtId="0" fontId="10" fillId="0" borderId="102" xfId="0" applyFont="1" applyBorder="1" applyAlignment="1">
      <alignment vertical="center"/>
    </xf>
    <xf numFmtId="0" fontId="10" fillId="0" borderId="97" xfId="0" applyFont="1" applyBorder="1" applyAlignment="1">
      <alignment vertical="center"/>
    </xf>
    <xf numFmtId="0" fontId="10" fillId="0" borderId="103" xfId="0" applyFont="1" applyBorder="1" applyAlignment="1">
      <alignment vertical="center"/>
    </xf>
    <xf numFmtId="0" fontId="10" fillId="0" borderId="104" xfId="0" applyFont="1" applyBorder="1" applyAlignment="1">
      <alignment vertical="center"/>
    </xf>
    <xf numFmtId="0" fontId="10" fillId="0" borderId="40" xfId="0" applyFont="1" applyBorder="1" applyAlignment="1">
      <alignment vertical="center"/>
    </xf>
    <xf numFmtId="0" fontId="11" fillId="0" borderId="105" xfId="0" applyFont="1" applyBorder="1" applyAlignment="1">
      <alignment vertical="center"/>
    </xf>
    <xf numFmtId="0" fontId="11" fillId="0" borderId="106" xfId="0" applyFont="1" applyBorder="1" applyAlignment="1">
      <alignment vertical="center"/>
    </xf>
    <xf numFmtId="0" fontId="11" fillId="0" borderId="32" xfId="0" applyFont="1" applyBorder="1" applyAlignment="1">
      <alignment vertical="center"/>
    </xf>
    <xf numFmtId="0" fontId="10" fillId="0" borderId="32" xfId="0" applyFont="1" applyBorder="1" applyAlignment="1">
      <alignment vertical="center" wrapText="1"/>
    </xf>
    <xf numFmtId="0" fontId="11" fillId="0" borderId="46" xfId="0" applyFont="1" applyBorder="1" applyAlignment="1">
      <alignment vertical="center"/>
    </xf>
    <xf numFmtId="0" fontId="11" fillId="0" borderId="36" xfId="0" applyFont="1" applyBorder="1" applyAlignment="1">
      <alignment vertical="center"/>
    </xf>
    <xf numFmtId="0" fontId="11" fillId="0" borderId="32" xfId="0" applyFont="1" applyBorder="1"/>
    <xf numFmtId="0" fontId="8" fillId="0" borderId="50" xfId="0" applyFont="1" applyBorder="1" applyAlignment="1">
      <alignment horizontal="center" vertical="center"/>
    </xf>
    <xf numFmtId="0" fontId="6" fillId="0" borderId="107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8" fillId="0" borderId="100" xfId="0" applyFont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 wrapText="1"/>
    </xf>
    <xf numFmtId="0" fontId="6" fillId="9" borderId="38" xfId="0" applyFont="1" applyFill="1" applyBorder="1" applyAlignment="1">
      <alignment horizontal="center" vertical="center" wrapText="1"/>
    </xf>
    <xf numFmtId="0" fontId="10" fillId="0" borderId="100" xfId="0" applyFont="1" applyBorder="1" applyAlignment="1">
      <alignment vertical="center"/>
    </xf>
    <xf numFmtId="165" fontId="10" fillId="0" borderId="112" xfId="0" applyNumberFormat="1" applyFont="1" applyBorder="1" applyAlignment="1">
      <alignment vertical="center"/>
    </xf>
    <xf numFmtId="0" fontId="6" fillId="0" borderId="113" xfId="0" applyFont="1" applyBorder="1" applyAlignment="1">
      <alignment vertical="center"/>
    </xf>
    <xf numFmtId="0" fontId="6" fillId="9" borderId="87" xfId="0" applyFont="1" applyFill="1" applyBorder="1" applyAlignment="1">
      <alignment horizontal="center" vertical="center" wrapText="1"/>
    </xf>
    <xf numFmtId="0" fontId="6" fillId="19" borderId="31" xfId="0" applyFont="1" applyFill="1" applyBorder="1" applyAlignment="1">
      <alignment horizontal="center" vertical="center" wrapText="1"/>
    </xf>
    <xf numFmtId="0" fontId="6" fillId="19" borderId="32" xfId="0" applyFont="1" applyFill="1" applyBorder="1" applyAlignment="1">
      <alignment horizontal="center" vertical="center" wrapText="1"/>
    </xf>
    <xf numFmtId="0" fontId="6" fillId="0" borderId="11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6" fillId="21" borderId="8" xfId="0" applyFont="1" applyFill="1" applyBorder="1" applyAlignment="1">
      <alignment horizontal="center" vertical="center" wrapText="1"/>
    </xf>
    <xf numFmtId="0" fontId="6" fillId="20" borderId="15" xfId="0" applyFont="1" applyFill="1" applyBorder="1" applyAlignment="1">
      <alignment horizontal="center" vertical="center" wrapText="1"/>
    </xf>
    <xf numFmtId="0" fontId="6" fillId="20" borderId="20" xfId="0" applyFont="1" applyFill="1" applyBorder="1" applyAlignment="1">
      <alignment horizontal="center" vertical="center" wrapText="1"/>
    </xf>
    <xf numFmtId="0" fontId="10" fillId="0" borderId="100" xfId="0" applyFont="1" applyBorder="1" applyAlignment="1">
      <alignment horizontal="left" vertical="center"/>
    </xf>
    <xf numFmtId="0" fontId="6" fillId="7" borderId="15" xfId="0" applyFont="1" applyFill="1" applyBorder="1" applyAlignment="1">
      <alignment horizontal="center" vertical="center" wrapText="1"/>
    </xf>
    <xf numFmtId="0" fontId="6" fillId="7" borderId="20" xfId="0" applyFont="1" applyFill="1" applyBorder="1" applyAlignment="1">
      <alignment horizontal="center" vertical="center" wrapText="1"/>
    </xf>
    <xf numFmtId="165" fontId="10" fillId="0" borderId="37" xfId="0" applyNumberFormat="1" applyFont="1" applyBorder="1" applyAlignment="1">
      <alignment vertical="center"/>
    </xf>
    <xf numFmtId="0" fontId="8" fillId="0" borderId="37" xfId="0" applyFont="1" applyBorder="1" applyAlignment="1">
      <alignment horizontal="left" vertical="center"/>
    </xf>
    <xf numFmtId="0" fontId="19" fillId="0" borderId="37" xfId="0" applyFont="1" applyBorder="1" applyAlignment="1">
      <alignment horizontal="center" vertical="center"/>
    </xf>
    <xf numFmtId="0" fontId="19" fillId="0" borderId="100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165" fontId="10" fillId="0" borderId="112" xfId="0" applyNumberFormat="1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9" borderId="118" xfId="0" applyFont="1" applyFill="1" applyBorder="1" applyAlignment="1">
      <alignment horizontal="center" vertical="center" wrapText="1"/>
    </xf>
    <xf numFmtId="0" fontId="6" fillId="9" borderId="119" xfId="0" applyFont="1" applyFill="1" applyBorder="1" applyAlignment="1">
      <alignment horizontal="center" vertical="center" wrapText="1"/>
    </xf>
    <xf numFmtId="0" fontId="6" fillId="9" borderId="120" xfId="0" applyFont="1" applyFill="1" applyBorder="1" applyAlignment="1">
      <alignment horizontal="center" vertical="center" wrapText="1"/>
    </xf>
    <xf numFmtId="0" fontId="6" fillId="9" borderId="121" xfId="0" applyFont="1" applyFill="1" applyBorder="1" applyAlignment="1">
      <alignment horizontal="center" vertical="center" wrapText="1"/>
    </xf>
    <xf numFmtId="0" fontId="6" fillId="11" borderId="41" xfId="0" applyFont="1" applyFill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 wrapText="1"/>
    </xf>
    <xf numFmtId="0" fontId="19" fillId="0" borderId="73" xfId="0" applyFont="1" applyBorder="1" applyAlignment="1">
      <alignment horizontal="left" vertical="center"/>
    </xf>
    <xf numFmtId="0" fontId="19" fillId="0" borderId="79" xfId="0" applyFont="1" applyBorder="1" applyAlignment="1">
      <alignment horizontal="left" vertical="center"/>
    </xf>
    <xf numFmtId="0" fontId="19" fillId="0" borderId="79" xfId="0" applyFont="1" applyBorder="1" applyAlignment="1">
      <alignment horizontal="left" vertical="center" wrapText="1"/>
    </xf>
    <xf numFmtId="0" fontId="19" fillId="0" borderId="75" xfId="0" applyFont="1" applyBorder="1" applyAlignment="1">
      <alignment horizontal="center" vertical="center"/>
    </xf>
    <xf numFmtId="165" fontId="21" fillId="0" borderId="61" xfId="0" applyNumberFormat="1" applyFont="1" applyBorder="1" applyAlignment="1">
      <alignment horizontal="center" vertical="center" textRotation="90"/>
    </xf>
    <xf numFmtId="165" fontId="21" fillId="0" borderId="0" xfId="0" applyNumberFormat="1" applyFont="1" applyAlignment="1">
      <alignment horizontal="center" vertical="center" textRotation="90"/>
    </xf>
    <xf numFmtId="165" fontId="21" fillId="0" borderId="19" xfId="0" applyNumberFormat="1" applyFont="1" applyBorder="1" applyAlignment="1">
      <alignment horizontal="center" vertical="center" textRotation="90"/>
    </xf>
    <xf numFmtId="0" fontId="9" fillId="0" borderId="58" xfId="0" applyFont="1" applyBorder="1" applyAlignment="1">
      <alignment horizontal="center" vertical="center"/>
    </xf>
    <xf numFmtId="0" fontId="9" fillId="0" borderId="99" xfId="0" applyFont="1" applyBorder="1" applyAlignment="1">
      <alignment horizontal="center" vertical="center"/>
    </xf>
    <xf numFmtId="0" fontId="8" fillId="0" borderId="99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7" fillId="0" borderId="108" xfId="0" applyFont="1" applyBorder="1" applyAlignment="1">
      <alignment horizontal="center" vertical="center" textRotation="90"/>
    </xf>
    <xf numFmtId="0" fontId="7" fillId="0" borderId="32" xfId="0" applyFont="1" applyBorder="1" applyAlignment="1">
      <alignment horizontal="center" vertical="center" textRotation="90"/>
    </xf>
    <xf numFmtId="0" fontId="7" fillId="0" borderId="45" xfId="0" applyFont="1" applyBorder="1" applyAlignment="1">
      <alignment horizontal="center" vertical="center" textRotation="90"/>
    </xf>
    <xf numFmtId="0" fontId="7" fillId="0" borderId="109" xfId="0" applyFont="1" applyBorder="1" applyAlignment="1">
      <alignment horizontal="center" vertical="center" textRotation="90"/>
    </xf>
    <xf numFmtId="0" fontId="10" fillId="0" borderId="17" xfId="0" applyFont="1" applyBorder="1" applyAlignment="1">
      <alignment horizontal="center" vertical="center"/>
    </xf>
    <xf numFmtId="165" fontId="9" fillId="0" borderId="36" xfId="0" applyNumberFormat="1" applyFont="1" applyBorder="1" applyAlignment="1">
      <alignment horizontal="center" vertical="center" textRotation="90"/>
    </xf>
    <xf numFmtId="165" fontId="9" fillId="0" borderId="46" xfId="0" applyNumberFormat="1" applyFont="1" applyBorder="1" applyAlignment="1">
      <alignment horizontal="center" vertical="center" textRotation="90"/>
    </xf>
    <xf numFmtId="0" fontId="17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6" fillId="0" borderId="31" xfId="0" applyFont="1" applyBorder="1" applyAlignment="1">
      <alignment horizontal="center" vertical="center" textRotation="90"/>
    </xf>
    <xf numFmtId="0" fontId="6" fillId="0" borderId="32" xfId="0" applyFont="1" applyBorder="1" applyAlignment="1">
      <alignment horizontal="center" vertical="center" textRotation="90"/>
    </xf>
    <xf numFmtId="0" fontId="6" fillId="0" borderId="33" xfId="0" applyFont="1" applyBorder="1" applyAlignment="1">
      <alignment horizontal="center" vertical="center" textRotation="90"/>
    </xf>
    <xf numFmtId="0" fontId="19" fillId="0" borderId="32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9" fillId="0" borderId="34" xfId="0" applyFont="1" applyBorder="1" applyAlignment="1">
      <alignment horizontal="left" vertical="center"/>
    </xf>
    <xf numFmtId="0" fontId="19" fillId="0" borderId="48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 wrapText="1"/>
    </xf>
    <xf numFmtId="0" fontId="19" fillId="0" borderId="48" xfId="0" applyFont="1" applyBorder="1" applyAlignment="1">
      <alignment horizontal="left" vertical="center" wrapText="1"/>
    </xf>
    <xf numFmtId="0" fontId="10" fillId="0" borderId="34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49" xfId="0" applyFont="1" applyBorder="1" applyAlignment="1">
      <alignment horizontal="left" vertical="center"/>
    </xf>
    <xf numFmtId="0" fontId="19" fillId="0" borderId="50" xfId="0" applyFont="1" applyBorder="1" applyAlignment="1">
      <alignment horizontal="left" vertical="center"/>
    </xf>
    <xf numFmtId="0" fontId="11" fillId="0" borderId="63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6" fillId="0" borderId="81" xfId="0" applyFont="1" applyBorder="1" applyAlignment="1">
      <alignment horizontal="center" vertical="center" textRotation="90"/>
    </xf>
    <xf numFmtId="0" fontId="6" fillId="0" borderId="103" xfId="0" applyFont="1" applyBorder="1" applyAlignment="1">
      <alignment horizontal="center" vertical="center" textRotation="90"/>
    </xf>
    <xf numFmtId="0" fontId="6" fillId="0" borderId="98" xfId="0" applyFont="1" applyBorder="1" applyAlignment="1">
      <alignment horizontal="center" vertical="center" textRotation="90"/>
    </xf>
    <xf numFmtId="0" fontId="10" fillId="0" borderId="3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4" xfId="0" applyFont="1" applyBorder="1" applyAlignment="1">
      <alignment horizontal="left" vertical="center" wrapText="1"/>
    </xf>
    <xf numFmtId="0" fontId="10" fillId="0" borderId="63" xfId="0" applyFont="1" applyBorder="1" applyAlignment="1">
      <alignment horizontal="center" vertical="center"/>
    </xf>
    <xf numFmtId="0" fontId="19" fillId="0" borderId="114" xfId="0" applyFont="1" applyBorder="1" applyAlignment="1">
      <alignment horizontal="left" vertical="center"/>
    </xf>
    <xf numFmtId="0" fontId="19" fillId="0" borderId="36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/>
    </xf>
    <xf numFmtId="0" fontId="10" fillId="0" borderId="99" xfId="0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6" fillId="0" borderId="110" xfId="0" applyFont="1" applyBorder="1" applyAlignment="1">
      <alignment horizontal="center" vertical="center" wrapText="1"/>
    </xf>
    <xf numFmtId="0" fontId="6" fillId="0" borderId="111" xfId="0" applyFont="1" applyBorder="1" applyAlignment="1">
      <alignment horizontal="center" vertical="center" wrapText="1"/>
    </xf>
    <xf numFmtId="165" fontId="10" fillId="0" borderId="89" xfId="0" applyNumberFormat="1" applyFont="1" applyBorder="1" applyAlignment="1">
      <alignment horizontal="center" vertical="center" wrapText="1"/>
    </xf>
    <xf numFmtId="165" fontId="10" fillId="0" borderId="86" xfId="0" applyNumberFormat="1" applyFont="1" applyBorder="1" applyAlignment="1">
      <alignment horizontal="center" vertical="center" wrapText="1"/>
    </xf>
    <xf numFmtId="165" fontId="10" fillId="0" borderId="124" xfId="0" applyNumberFormat="1" applyFont="1" applyBorder="1" applyAlignment="1">
      <alignment horizontal="center" vertical="center" wrapText="1"/>
    </xf>
    <xf numFmtId="165" fontId="10" fillId="0" borderId="125" xfId="0" applyNumberFormat="1" applyFont="1" applyBorder="1" applyAlignment="1">
      <alignment horizontal="center" vertical="center" wrapText="1"/>
    </xf>
    <xf numFmtId="165" fontId="10" fillId="0" borderId="89" xfId="0" applyNumberFormat="1" applyFont="1" applyBorder="1" applyAlignment="1">
      <alignment horizontal="center" vertical="center"/>
    </xf>
    <xf numFmtId="0" fontId="6" fillId="0" borderId="111" xfId="0" applyFont="1" applyBorder="1" applyAlignment="1">
      <alignment horizontal="center" vertical="center"/>
    </xf>
    <xf numFmtId="165" fontId="10" fillId="0" borderId="86" xfId="0" applyNumberFormat="1" applyFont="1" applyBorder="1" applyAlignment="1">
      <alignment horizontal="center" vertical="center"/>
    </xf>
    <xf numFmtId="0" fontId="6" fillId="0" borderId="110" xfId="0" applyFont="1" applyBorder="1" applyAlignment="1">
      <alignment horizontal="center" vertical="center"/>
    </xf>
    <xf numFmtId="0" fontId="6" fillId="0" borderId="122" xfId="0" applyFont="1" applyBorder="1" applyAlignment="1">
      <alignment horizontal="center" vertical="center"/>
    </xf>
    <xf numFmtId="0" fontId="6" fillId="0" borderId="123" xfId="0" applyFont="1" applyBorder="1" applyAlignment="1">
      <alignment horizontal="center" vertical="center"/>
    </xf>
    <xf numFmtId="165" fontId="10" fillId="0" borderId="124" xfId="0" applyNumberFormat="1" applyFont="1" applyBorder="1" applyAlignment="1">
      <alignment horizontal="center" vertical="center"/>
    </xf>
    <xf numFmtId="165" fontId="10" fillId="0" borderId="125" xfId="0" applyNumberFormat="1" applyFont="1" applyBorder="1" applyAlignment="1">
      <alignment horizontal="center" vertical="center"/>
    </xf>
    <xf numFmtId="0" fontId="6" fillId="0" borderId="122" xfId="0" applyFont="1" applyBorder="1" applyAlignment="1">
      <alignment horizontal="center" vertical="center" wrapText="1"/>
    </xf>
    <xf numFmtId="0" fontId="6" fillId="0" borderId="123" xfId="0" applyFont="1" applyBorder="1" applyAlignment="1">
      <alignment horizontal="center" vertical="center" wrapText="1"/>
    </xf>
    <xf numFmtId="0" fontId="19" fillId="0" borderId="63" xfId="0" applyFont="1" applyBorder="1" applyAlignment="1">
      <alignment horizontal="left" vertical="center" wrapText="1"/>
    </xf>
    <xf numFmtId="0" fontId="19" fillId="0" borderId="45" xfId="0" applyFont="1" applyBorder="1" applyAlignment="1">
      <alignment horizontal="left" vertical="center" wrapText="1"/>
    </xf>
    <xf numFmtId="0" fontId="19" fillId="0" borderId="83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 textRotation="90"/>
    </xf>
    <xf numFmtId="0" fontId="7" fillId="0" borderId="68" xfId="0" applyFont="1" applyBorder="1" applyAlignment="1">
      <alignment horizontal="center" vertical="center" textRotation="90"/>
    </xf>
    <xf numFmtId="0" fontId="7" fillId="0" borderId="69" xfId="0" applyFont="1" applyBorder="1" applyAlignment="1">
      <alignment horizontal="center" vertical="center" textRotation="90"/>
    </xf>
    <xf numFmtId="0" fontId="7" fillId="0" borderId="70" xfId="0" applyFont="1" applyBorder="1" applyAlignment="1">
      <alignment horizontal="center" vertical="center" textRotation="90"/>
    </xf>
    <xf numFmtId="0" fontId="19" fillId="0" borderId="73" xfId="0" applyFont="1" applyBorder="1" applyAlignment="1">
      <alignment horizontal="left" vertical="center" wrapText="1"/>
    </xf>
    <xf numFmtId="0" fontId="8" fillId="0" borderId="36" xfId="0" applyFont="1" applyBorder="1" applyAlignment="1">
      <alignment horizontal="center" vertical="center"/>
    </xf>
    <xf numFmtId="165" fontId="9" fillId="0" borderId="34" xfId="0" applyNumberFormat="1" applyFont="1" applyBorder="1" applyAlignment="1">
      <alignment horizontal="center" vertical="center" textRotation="90"/>
    </xf>
    <xf numFmtId="165" fontId="9" fillId="0" borderId="17" xfId="0" applyNumberFormat="1" applyFont="1" applyBorder="1" applyAlignment="1">
      <alignment horizontal="center" vertical="center" textRotation="90"/>
    </xf>
    <xf numFmtId="165" fontId="9" fillId="0" borderId="18" xfId="0" applyNumberFormat="1" applyFont="1" applyBorder="1" applyAlignment="1">
      <alignment horizontal="center" vertical="center" textRotation="90"/>
    </xf>
    <xf numFmtId="0" fontId="9" fillId="0" borderId="46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19" fillId="0" borderId="99" xfId="0" applyFont="1" applyBorder="1" applyAlignment="1">
      <alignment horizontal="center" vertical="center"/>
    </xf>
    <xf numFmtId="0" fontId="19" fillId="0" borderId="75" xfId="0" applyFont="1" applyBorder="1" applyAlignment="1">
      <alignment horizontal="left" vertical="center" wrapText="1"/>
    </xf>
    <xf numFmtId="0" fontId="10" fillId="0" borderId="99" xfId="0" applyFont="1" applyBorder="1" applyAlignment="1">
      <alignment horizontal="left" vertical="center"/>
    </xf>
    <xf numFmtId="0" fontId="10" fillId="0" borderId="55" xfId="0" applyFont="1" applyBorder="1" applyAlignment="1">
      <alignment horizontal="left" vertical="center"/>
    </xf>
    <xf numFmtId="0" fontId="19" fillId="0" borderId="55" xfId="0" applyFont="1" applyBorder="1" applyAlignment="1">
      <alignment horizontal="center" vertical="center"/>
    </xf>
    <xf numFmtId="0" fontId="19" fillId="0" borderId="52" xfId="0" applyFont="1" applyBorder="1" applyAlignment="1">
      <alignment horizontal="left" vertical="center"/>
    </xf>
    <xf numFmtId="0" fontId="19" fillId="0" borderId="75" xfId="0" applyFont="1" applyBorder="1" applyAlignment="1">
      <alignment horizontal="left" vertical="center"/>
    </xf>
    <xf numFmtId="0" fontId="8" fillId="0" borderId="75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165" fontId="10" fillId="0" borderId="35" xfId="0" applyNumberFormat="1" applyFont="1" applyBorder="1" applyAlignment="1">
      <alignment horizontal="center" vertical="center"/>
    </xf>
    <xf numFmtId="165" fontId="10" fillId="0" borderId="36" xfId="0" applyNumberFormat="1" applyFont="1" applyBorder="1" applyAlignment="1">
      <alignment horizontal="center" vertical="center"/>
    </xf>
    <xf numFmtId="0" fontId="19" fillId="0" borderId="99" xfId="0" applyFont="1" applyBorder="1" applyAlignment="1">
      <alignment horizontal="center" vertical="center" wrapText="1"/>
    </xf>
    <xf numFmtId="0" fontId="6" fillId="15" borderId="38" xfId="0" applyFont="1" applyFill="1" applyBorder="1" applyAlignment="1">
      <alignment horizontal="center" vertical="center" wrapText="1"/>
    </xf>
    <xf numFmtId="0" fontId="6" fillId="15" borderId="20" xfId="0" applyFont="1" applyFill="1" applyBorder="1" applyAlignment="1">
      <alignment horizontal="center" vertical="center" wrapText="1"/>
    </xf>
    <xf numFmtId="0" fontId="6" fillId="14" borderId="31" xfId="0" applyFont="1" applyFill="1" applyBorder="1" applyAlignment="1">
      <alignment horizontal="center" vertical="center" wrapText="1"/>
    </xf>
    <xf numFmtId="0" fontId="6" fillId="14" borderId="33" xfId="0" applyFont="1" applyFill="1" applyBorder="1" applyAlignment="1">
      <alignment horizontal="center" vertical="center" wrapText="1"/>
    </xf>
    <xf numFmtId="0" fontId="6" fillId="17" borderId="38" xfId="0" applyFont="1" applyFill="1" applyBorder="1" applyAlignment="1">
      <alignment horizontal="center" vertical="center" wrapText="1"/>
    </xf>
    <xf numFmtId="0" fontId="6" fillId="17" borderId="39" xfId="0" applyFont="1" applyFill="1" applyBorder="1" applyAlignment="1">
      <alignment horizontal="center" vertical="center" wrapText="1"/>
    </xf>
    <xf numFmtId="165" fontId="8" fillId="0" borderId="31" xfId="0" applyNumberFormat="1" applyFont="1" applyBorder="1" applyAlignment="1">
      <alignment horizontal="center" vertical="center"/>
    </xf>
    <xf numFmtId="165" fontId="8" fillId="0" borderId="32" xfId="0" applyNumberFormat="1" applyFont="1" applyBorder="1" applyAlignment="1">
      <alignment horizontal="center" vertical="center"/>
    </xf>
    <xf numFmtId="165" fontId="8" fillId="0" borderId="33" xfId="0" applyNumberFormat="1" applyFont="1" applyBorder="1" applyAlignment="1">
      <alignment horizontal="center" vertical="center"/>
    </xf>
    <xf numFmtId="0" fontId="6" fillId="19" borderId="31" xfId="0" applyFont="1" applyFill="1" applyBorder="1" applyAlignment="1">
      <alignment horizontal="center" vertical="center" wrapText="1"/>
    </xf>
    <xf numFmtId="0" fontId="6" fillId="19" borderId="33" xfId="0" applyFont="1" applyFill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8" borderId="115" xfId="0" applyFont="1" applyFill="1" applyBorder="1" applyAlignment="1">
      <alignment horizontal="center" vertical="center" wrapText="1"/>
    </xf>
    <xf numFmtId="0" fontId="6" fillId="8" borderId="116" xfId="0" applyFont="1" applyFill="1" applyBorder="1" applyAlignment="1">
      <alignment horizontal="center" vertical="center" wrapText="1"/>
    </xf>
    <xf numFmtId="0" fontId="6" fillId="8" borderId="117" xfId="0" applyFont="1" applyFill="1" applyBorder="1" applyAlignment="1">
      <alignment horizontal="center" vertical="center" wrapText="1"/>
    </xf>
    <xf numFmtId="0" fontId="6" fillId="10" borderId="39" xfId="0" applyFont="1" applyFill="1" applyBorder="1" applyAlignment="1">
      <alignment horizontal="center" vertical="center" wrapText="1"/>
    </xf>
    <xf numFmtId="0" fontId="6" fillId="10" borderId="20" xfId="0" applyFont="1" applyFill="1" applyBorder="1" applyAlignment="1">
      <alignment horizontal="center" vertical="center" wrapText="1"/>
    </xf>
    <xf numFmtId="0" fontId="6" fillId="12" borderId="38" xfId="0" applyFont="1" applyFill="1" applyBorder="1" applyAlignment="1">
      <alignment horizontal="center" vertical="center" wrapText="1"/>
    </xf>
    <xf numFmtId="0" fontId="6" fillId="12" borderId="20" xfId="0" applyFont="1" applyFill="1" applyBorder="1" applyAlignment="1">
      <alignment horizontal="center" vertical="center" wrapText="1"/>
    </xf>
    <xf numFmtId="165" fontId="8" fillId="0" borderId="31" xfId="0" applyNumberFormat="1" applyFont="1" applyBorder="1" applyAlignment="1">
      <alignment horizontal="center" vertical="center" textRotation="90"/>
    </xf>
    <xf numFmtId="165" fontId="8" fillId="0" borderId="32" xfId="0" applyNumberFormat="1" applyFont="1" applyBorder="1" applyAlignment="1">
      <alignment horizontal="center" vertical="center" textRotation="90"/>
    </xf>
    <xf numFmtId="165" fontId="8" fillId="0" borderId="33" xfId="0" applyNumberFormat="1" applyFont="1" applyBorder="1" applyAlignment="1">
      <alignment horizontal="center" vertical="center" textRotation="90"/>
    </xf>
    <xf numFmtId="165" fontId="9" fillId="0" borderId="0" xfId="0" applyNumberFormat="1" applyFont="1" applyAlignment="1">
      <alignment horizontal="center" vertical="center" textRotation="90"/>
    </xf>
  </cellXfs>
  <cellStyles count="1">
    <cellStyle name="Normal" xfId="0" builtinId="0"/>
  </cellStyles>
  <dxfs count="17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sz val="10"/>
        <color rgb="FF006100"/>
        <name val="Calibri"/>
        <charset val="1"/>
      </font>
      <fill>
        <patternFill>
          <bgColor rgb="FFC6EFCE"/>
        </patternFill>
      </fill>
    </dxf>
    <dxf>
      <font>
        <b/>
        <sz val="10"/>
        <color rgb="FF9C6500"/>
        <name val="Calibri"/>
        <charset val="1"/>
      </font>
      <fill>
        <patternFill>
          <bgColor rgb="FFFFEB9C"/>
        </patternFill>
      </fill>
    </dxf>
    <dxf>
      <font>
        <b/>
        <sz val="10"/>
        <color rgb="FF9C0006"/>
        <name val="Calibri"/>
        <charset val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sz val="10"/>
        <color rgb="FF006100"/>
        <name val="Calibri"/>
        <charset val="1"/>
      </font>
      <fill>
        <patternFill>
          <bgColor rgb="FFC6EFCE"/>
        </patternFill>
      </fill>
    </dxf>
    <dxf>
      <font>
        <b/>
        <sz val="10"/>
        <color rgb="FF1F4E78"/>
        <name val="Calibri"/>
        <charset val="1"/>
      </font>
      <fill>
        <patternFill>
          <bgColor rgb="FFBDD7EE"/>
        </patternFill>
      </fill>
    </dxf>
    <dxf>
      <font>
        <b/>
        <sz val="10"/>
        <color rgb="FFC65911"/>
        <name val="Calibri"/>
        <charset val="1"/>
      </font>
      <fill>
        <patternFill>
          <bgColor rgb="FFF8CBAD"/>
        </patternFill>
      </fill>
    </dxf>
    <dxf>
      <font>
        <b/>
        <sz val="10"/>
        <color rgb="FF9C0006"/>
        <name val="Calibri"/>
        <charset val="1"/>
      </font>
      <fill>
        <patternFill>
          <bgColor rgb="FFFFC7CE"/>
        </patternFill>
      </fill>
    </dxf>
    <dxf>
      <font>
        <b/>
        <sz val="10"/>
        <color rgb="FF006100"/>
        <name val="Calibri"/>
        <charset val="1"/>
      </font>
      <fill>
        <patternFill>
          <bgColor rgb="FFC6EFCE"/>
        </patternFill>
      </fill>
    </dxf>
    <dxf>
      <font>
        <b/>
        <sz val="10"/>
        <color rgb="FF1F4E78"/>
        <name val="Calibri"/>
        <charset val="1"/>
      </font>
      <fill>
        <patternFill>
          <bgColor rgb="FFBDD7EE"/>
        </patternFill>
      </fill>
    </dxf>
    <dxf>
      <font>
        <b/>
        <sz val="10"/>
        <color rgb="FFC65911"/>
        <name val="Calibri"/>
        <charset val="1"/>
      </font>
      <fill>
        <patternFill>
          <bgColor rgb="FFF8CBAD"/>
        </patternFill>
      </fill>
    </dxf>
    <dxf>
      <font>
        <b/>
        <sz val="10"/>
        <color rgb="FF9C0006"/>
        <name val="Calibri"/>
        <charset val="1"/>
      </font>
      <fill>
        <patternFill>
          <bgColor rgb="FFFFC7CE"/>
        </patternFill>
      </fill>
    </dxf>
    <dxf>
      <font>
        <b/>
        <sz val="10"/>
        <color rgb="FF006100"/>
        <name val="Calibri"/>
        <charset val="1"/>
      </font>
      <fill>
        <patternFill>
          <bgColor rgb="FFC6EFCE"/>
        </patternFill>
      </fill>
    </dxf>
    <dxf>
      <font>
        <b/>
        <sz val="10"/>
        <color rgb="FF9C6500"/>
        <name val="Calibri"/>
        <charset val="1"/>
      </font>
      <fill>
        <patternFill>
          <bgColor rgb="FFFFEB9C"/>
        </patternFill>
      </fill>
    </dxf>
    <dxf>
      <font>
        <b/>
        <sz val="10"/>
        <color rgb="FF9C0006"/>
        <name val="Calibri"/>
        <charset val="1"/>
      </font>
      <fill>
        <patternFill>
          <bgColor rgb="FFFFC7CE"/>
        </patternFill>
      </fill>
    </dxf>
    <dxf>
      <font>
        <b/>
        <sz val="10"/>
        <color rgb="FF006100"/>
        <name val="Calibri"/>
        <charset val="1"/>
      </font>
      <fill>
        <patternFill>
          <bgColor rgb="FFC6EFCE"/>
        </patternFill>
      </fill>
    </dxf>
    <dxf>
      <font>
        <b/>
        <sz val="10"/>
        <color rgb="FF9C6500"/>
        <name val="Calibri"/>
        <charset val="1"/>
      </font>
      <fill>
        <patternFill>
          <bgColor rgb="FFFFEB9C"/>
        </patternFill>
      </fill>
    </dxf>
    <dxf>
      <font>
        <b/>
        <sz val="10"/>
        <color rgb="FF9C0006"/>
        <name val="Calibri"/>
        <charset val="1"/>
      </font>
      <fill>
        <patternFill>
          <bgColor rgb="FFFFC7CE"/>
        </patternFill>
      </fill>
    </dxf>
    <dxf>
      <font>
        <b/>
        <sz val="10"/>
        <color rgb="FF006100"/>
        <name val="Calibri"/>
        <charset val="1"/>
      </font>
      <fill>
        <patternFill>
          <bgColor rgb="FFC6EFCE"/>
        </patternFill>
      </fill>
    </dxf>
    <dxf>
      <font>
        <b/>
        <sz val="10"/>
        <color rgb="FF9C6500"/>
        <name val="Calibri"/>
        <charset val="1"/>
      </font>
      <fill>
        <patternFill>
          <bgColor rgb="FFFFEB9C"/>
        </patternFill>
      </fill>
    </dxf>
    <dxf>
      <font>
        <b/>
        <sz val="10"/>
        <color rgb="FF9C0006"/>
        <name val="Calibri"/>
        <charset val="1"/>
      </font>
      <fill>
        <patternFill>
          <bgColor rgb="FFFFC7CE"/>
        </patternFill>
      </fill>
    </dxf>
    <dxf>
      <font>
        <b/>
        <sz val="10"/>
        <color rgb="FF006100"/>
        <name val="Calibri"/>
        <charset val="1"/>
      </font>
      <fill>
        <patternFill>
          <bgColor rgb="FFC6EFCE"/>
        </patternFill>
      </fill>
    </dxf>
    <dxf>
      <font>
        <b/>
        <sz val="10"/>
        <color rgb="FF9C6500"/>
        <name val="Calibri"/>
        <charset val="1"/>
      </font>
      <fill>
        <patternFill>
          <bgColor rgb="FFFFEB9C"/>
        </patternFill>
      </fill>
    </dxf>
    <dxf>
      <font>
        <b/>
        <sz val="10"/>
        <color rgb="FF9C0006"/>
        <name val="Calibri"/>
        <charset val="1"/>
      </font>
      <fill>
        <patternFill>
          <bgColor rgb="FFFFC7CE"/>
        </patternFill>
      </fill>
    </dxf>
    <dxf>
      <font>
        <b/>
        <sz val="10"/>
        <color rgb="FF006100"/>
        <name val="Calibri"/>
        <charset val="1"/>
      </font>
      <fill>
        <patternFill>
          <bgColor rgb="FFC6EFCE"/>
        </patternFill>
      </fill>
    </dxf>
    <dxf>
      <font>
        <b/>
        <sz val="10"/>
        <color rgb="FF9C6500"/>
        <name val="Calibri"/>
        <charset val="1"/>
      </font>
      <fill>
        <patternFill>
          <bgColor rgb="FFFFEB9C"/>
        </patternFill>
      </fill>
    </dxf>
    <dxf>
      <font>
        <b/>
        <sz val="10"/>
        <color rgb="FF9C0006"/>
        <name val="Calibri"/>
        <charset val="1"/>
      </font>
      <fill>
        <patternFill>
          <bgColor rgb="FFFFC7CE"/>
        </patternFill>
      </fill>
    </dxf>
    <dxf>
      <font>
        <b/>
        <sz val="10"/>
        <color rgb="FF006100"/>
        <name val="Calibri"/>
        <charset val="1"/>
      </font>
      <fill>
        <patternFill>
          <bgColor rgb="FFC6EFCE"/>
        </patternFill>
      </fill>
    </dxf>
    <dxf>
      <font>
        <b/>
        <sz val="10"/>
        <color rgb="FF9C6500"/>
        <name val="Calibri"/>
        <charset val="1"/>
      </font>
      <fill>
        <patternFill>
          <bgColor rgb="FFFFEB9C"/>
        </patternFill>
      </fill>
    </dxf>
    <dxf>
      <font>
        <b/>
        <sz val="10"/>
        <color rgb="FF9C0006"/>
        <name val="Calibri"/>
        <charset val="1"/>
      </font>
      <fill>
        <patternFill>
          <bgColor rgb="FFFFC7CE"/>
        </patternFill>
      </fill>
    </dxf>
    <dxf>
      <font>
        <b/>
        <sz val="10"/>
        <color rgb="FF006100"/>
        <name val="Calibri"/>
        <charset val="1"/>
      </font>
      <fill>
        <patternFill>
          <bgColor rgb="FFC6EFCE"/>
        </patternFill>
      </fill>
    </dxf>
    <dxf>
      <font>
        <b/>
        <sz val="10"/>
        <color rgb="FF1F4E78"/>
        <name val="Calibri"/>
        <charset val="1"/>
      </font>
      <fill>
        <patternFill>
          <bgColor rgb="FFBDD7EE"/>
        </patternFill>
      </fill>
    </dxf>
    <dxf>
      <font>
        <b/>
        <sz val="10"/>
        <color rgb="FFC65911"/>
        <name val="Calibri"/>
        <charset val="1"/>
      </font>
      <fill>
        <patternFill>
          <bgColor rgb="FFF8CBAD"/>
        </patternFill>
      </fill>
    </dxf>
    <dxf>
      <font>
        <b/>
        <sz val="10"/>
        <color rgb="FF9C0006"/>
        <name val="Calibri"/>
        <charset val="1"/>
      </font>
      <fill>
        <patternFill>
          <bgColor rgb="FFFFC7CE"/>
        </patternFill>
      </fill>
    </dxf>
    <dxf>
      <font>
        <b/>
        <sz val="10"/>
        <color rgb="FF006100"/>
        <name val="Calibri"/>
        <charset val="1"/>
      </font>
      <fill>
        <patternFill>
          <bgColor rgb="FFC6EFCE"/>
        </patternFill>
      </fill>
    </dxf>
    <dxf>
      <font>
        <b/>
        <sz val="10"/>
        <color rgb="FF1F4E78"/>
        <name val="Calibri"/>
        <charset val="1"/>
      </font>
      <fill>
        <patternFill>
          <bgColor rgb="FFBDD7EE"/>
        </patternFill>
      </fill>
    </dxf>
    <dxf>
      <font>
        <b/>
        <sz val="10"/>
        <color rgb="FFC65911"/>
        <name val="Calibri"/>
        <charset val="1"/>
      </font>
      <fill>
        <patternFill>
          <bgColor rgb="FFF8CBAD"/>
        </patternFill>
      </fill>
    </dxf>
    <dxf>
      <font>
        <b/>
        <sz val="10"/>
        <color rgb="FF9C0006"/>
        <name val="Calibri"/>
        <charset val="1"/>
      </font>
      <fill>
        <patternFill>
          <bgColor rgb="FFFFC7CE"/>
        </patternFill>
      </fill>
    </dxf>
    <dxf>
      <font>
        <b/>
        <sz val="10"/>
        <color rgb="FF006100"/>
        <name val="Calibri"/>
        <charset val="1"/>
      </font>
      <fill>
        <patternFill>
          <bgColor rgb="FFC6EFCE"/>
        </patternFill>
      </fill>
    </dxf>
    <dxf>
      <font>
        <b/>
        <sz val="10"/>
        <color rgb="FF1F4E78"/>
        <name val="Calibri"/>
        <charset val="1"/>
      </font>
      <fill>
        <patternFill>
          <bgColor rgb="FFBDD7EE"/>
        </patternFill>
      </fill>
    </dxf>
    <dxf>
      <font>
        <b/>
        <sz val="10"/>
        <color rgb="FF9C6500"/>
        <name val="Calibri"/>
        <charset val="1"/>
      </font>
      <fill>
        <patternFill>
          <bgColor rgb="FFFFEB9C"/>
        </patternFill>
      </fill>
    </dxf>
    <dxf>
      <font>
        <b/>
        <sz val="10"/>
        <color rgb="FFC65911"/>
        <name val="Calibri"/>
        <charset val="1"/>
      </font>
      <fill>
        <patternFill>
          <bgColor rgb="FFF8CBAD"/>
        </patternFill>
      </fill>
    </dxf>
    <dxf>
      <font>
        <b/>
        <sz val="10"/>
        <color rgb="FF9C0006"/>
        <name val="Calibri"/>
        <charset val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sz val="10"/>
        <color rgb="FF006100"/>
        <name val="Calibri"/>
        <charset val="1"/>
      </font>
      <fill>
        <patternFill>
          <bgColor rgb="FFC6EFCE"/>
        </patternFill>
      </fill>
    </dxf>
    <dxf>
      <font>
        <b/>
        <sz val="10"/>
        <color rgb="FF9C6500"/>
        <name val="Calibri"/>
        <charset val="1"/>
      </font>
      <fill>
        <patternFill>
          <bgColor rgb="FFFFEB9C"/>
        </patternFill>
      </fill>
    </dxf>
    <dxf>
      <font>
        <b/>
        <sz val="10"/>
        <color rgb="FF9C0006"/>
        <name val="Calibri"/>
        <charset val="1"/>
      </font>
      <fill>
        <patternFill>
          <bgColor rgb="FFFFC7CE"/>
        </patternFill>
      </fill>
    </dxf>
    <dxf>
      <font>
        <b/>
        <sz val="10"/>
        <color rgb="FF006100"/>
        <name val="Calibri"/>
        <charset val="1"/>
      </font>
      <fill>
        <patternFill>
          <bgColor rgb="FFC6EFCE"/>
        </patternFill>
      </fill>
    </dxf>
    <dxf>
      <font>
        <b/>
        <sz val="10"/>
        <color rgb="FF1F4E78"/>
        <name val="Calibri"/>
        <charset val="1"/>
      </font>
      <fill>
        <patternFill>
          <bgColor rgb="FFBDD7EE"/>
        </patternFill>
      </fill>
    </dxf>
    <dxf>
      <font>
        <b/>
        <sz val="10"/>
        <color rgb="FF9C6500"/>
        <name val="Calibri"/>
        <charset val="1"/>
      </font>
      <fill>
        <patternFill>
          <bgColor rgb="FFFFEB9C"/>
        </patternFill>
      </fill>
    </dxf>
    <dxf>
      <font>
        <b/>
        <sz val="10"/>
        <color rgb="FFC65911"/>
        <name val="Calibri"/>
        <charset val="1"/>
      </font>
      <fill>
        <patternFill>
          <bgColor rgb="FFF8CBAD"/>
        </patternFill>
      </fill>
    </dxf>
    <dxf>
      <font>
        <b/>
        <sz val="10"/>
        <color rgb="FF9C0006"/>
        <name val="Calibri"/>
        <charset val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sz val="10"/>
        <color rgb="FF006100"/>
        <name val="Calibri"/>
        <charset val="1"/>
      </font>
      <fill>
        <patternFill>
          <bgColor rgb="FFC6EFCE"/>
        </patternFill>
      </fill>
    </dxf>
    <dxf>
      <font>
        <b/>
        <sz val="10"/>
        <color rgb="FF1F4E78"/>
        <name val="Calibri"/>
        <charset val="1"/>
      </font>
      <fill>
        <patternFill>
          <bgColor rgb="FFBDD7EE"/>
        </patternFill>
      </fill>
    </dxf>
    <dxf>
      <font>
        <b/>
        <sz val="10"/>
        <color rgb="FF9C6500"/>
        <name val="Calibri"/>
        <charset val="1"/>
      </font>
      <fill>
        <patternFill>
          <bgColor rgb="FFFFEB9C"/>
        </patternFill>
      </fill>
    </dxf>
    <dxf>
      <font>
        <b/>
        <sz val="10"/>
        <color rgb="FFC65911"/>
        <name val="Calibri"/>
        <charset val="1"/>
      </font>
      <fill>
        <patternFill>
          <bgColor rgb="FFF8CBAD"/>
        </patternFill>
      </fill>
    </dxf>
    <dxf>
      <font>
        <b/>
        <sz val="10"/>
        <color rgb="FF9C0006"/>
        <name val="Calibri"/>
        <charset val="1"/>
      </font>
      <fill>
        <patternFill>
          <bgColor rgb="FFFFC7CE"/>
        </patternFill>
      </fill>
    </dxf>
    <dxf>
      <font>
        <b/>
        <sz val="10"/>
        <color rgb="FF006100"/>
        <name val="Calibri"/>
        <charset val="1"/>
      </font>
      <fill>
        <patternFill>
          <bgColor rgb="FFC6EFCE"/>
        </patternFill>
      </fill>
    </dxf>
    <dxf>
      <font>
        <b/>
        <sz val="10"/>
        <color rgb="FF1F4E78"/>
        <name val="Calibri"/>
        <charset val="1"/>
      </font>
      <fill>
        <patternFill>
          <bgColor rgb="FFBDD7EE"/>
        </patternFill>
      </fill>
    </dxf>
    <dxf>
      <font>
        <b/>
        <sz val="10"/>
        <color rgb="FF9C6500"/>
        <name val="Calibri"/>
        <charset val="1"/>
      </font>
      <fill>
        <patternFill>
          <bgColor rgb="FFFFEB9C"/>
        </patternFill>
      </fill>
    </dxf>
    <dxf>
      <font>
        <b/>
        <sz val="10"/>
        <color rgb="FFC65911"/>
        <name val="Calibri"/>
        <charset val="1"/>
      </font>
      <fill>
        <patternFill>
          <bgColor rgb="FFF8CBAD"/>
        </patternFill>
      </fill>
    </dxf>
    <dxf>
      <font>
        <b/>
        <sz val="10"/>
        <color rgb="FF9C0006"/>
        <name val="Calibri"/>
        <charset val="1"/>
      </font>
      <fill>
        <patternFill>
          <bgColor rgb="FFFFC7CE"/>
        </patternFill>
      </fill>
    </dxf>
    <dxf>
      <font>
        <b/>
        <sz val="10"/>
        <color rgb="FF006100"/>
        <name val="Calibri"/>
        <charset val="1"/>
      </font>
      <fill>
        <patternFill>
          <bgColor rgb="FFC6EFCE"/>
        </patternFill>
      </fill>
    </dxf>
    <dxf>
      <font>
        <b/>
        <sz val="10"/>
        <color rgb="FF1F4E78"/>
        <name val="Calibri"/>
        <charset val="1"/>
      </font>
      <fill>
        <patternFill>
          <bgColor rgb="FFBDD7EE"/>
        </patternFill>
      </fill>
    </dxf>
    <dxf>
      <font>
        <b/>
        <sz val="10"/>
        <color rgb="FF9C6500"/>
        <name val="Calibri"/>
        <charset val="1"/>
      </font>
      <fill>
        <patternFill>
          <bgColor rgb="FFFFEB9C"/>
        </patternFill>
      </fill>
    </dxf>
    <dxf>
      <font>
        <b/>
        <sz val="10"/>
        <color rgb="FFC65911"/>
        <name val="Calibri"/>
        <charset val="1"/>
      </font>
      <fill>
        <patternFill>
          <bgColor rgb="FFF8CBAD"/>
        </patternFill>
      </fill>
    </dxf>
    <dxf>
      <font>
        <b/>
        <sz val="10"/>
        <color rgb="FF9C0006"/>
        <name val="Calibri"/>
        <charset val="1"/>
      </font>
      <fill>
        <patternFill>
          <bgColor rgb="FFFFC7CE"/>
        </patternFill>
      </fill>
    </dxf>
    <dxf>
      <font>
        <b/>
        <sz val="10"/>
        <color rgb="FF006100"/>
        <name val="Calibri"/>
        <charset val="1"/>
      </font>
      <fill>
        <patternFill>
          <bgColor rgb="FFC6EFCE"/>
        </patternFill>
      </fill>
    </dxf>
    <dxf>
      <font>
        <b/>
        <sz val="10"/>
        <color rgb="FF9C6500"/>
        <name val="Calibri"/>
        <charset val="1"/>
      </font>
      <fill>
        <patternFill>
          <bgColor rgb="FFFFEB9C"/>
        </patternFill>
      </fill>
    </dxf>
    <dxf>
      <font>
        <b/>
        <sz val="10"/>
        <color rgb="FF9C0006"/>
        <name val="Calibri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C7CE"/>
      <rgbColor rgb="FFCC99FF"/>
      <rgbColor rgb="FFF8CBAD"/>
      <rgbColor rgb="FF3366FF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showGridLines="0" zoomScale="115" zoomScaleNormal="115" workbookViewId="0">
      <selection activeCell="B5" sqref="B5"/>
    </sheetView>
  </sheetViews>
  <sheetFormatPr defaultColWidth="8.7109375" defaultRowHeight="12.75"/>
  <cols>
    <col min="1" max="1" width="38" style="61" customWidth="1"/>
    <col min="2" max="2" width="100" style="61" customWidth="1"/>
    <col min="3" max="16384" width="8.7109375" style="61"/>
  </cols>
  <sheetData>
    <row r="1" spans="1:2">
      <c r="A1" s="314" t="s">
        <v>0</v>
      </c>
      <c r="B1" s="314"/>
    </row>
    <row r="2" spans="1:2" ht="45" customHeight="1">
      <c r="A2" s="315" t="s">
        <v>1</v>
      </c>
      <c r="B2" s="315"/>
    </row>
    <row r="4" spans="1:2" ht="19.5" customHeight="1">
      <c r="A4" s="62" t="s">
        <v>2</v>
      </c>
      <c r="B4" s="54"/>
    </row>
    <row r="5" spans="1:2" ht="43.5" customHeight="1">
      <c r="A5" s="62" t="s">
        <v>3</v>
      </c>
      <c r="B5" s="54" t="s">
        <v>4</v>
      </c>
    </row>
    <row r="6" spans="1:2" ht="43.5" customHeight="1">
      <c r="A6" s="62" t="s">
        <v>5</v>
      </c>
      <c r="B6" s="54" t="s">
        <v>6</v>
      </c>
    </row>
    <row r="7" spans="1:2" ht="43.5" customHeight="1">
      <c r="A7" s="62" t="s">
        <v>7</v>
      </c>
      <c r="B7" s="54" t="s">
        <v>8</v>
      </c>
    </row>
    <row r="8" spans="1:2" ht="43.5" customHeight="1">
      <c r="A8" s="62" t="s">
        <v>9</v>
      </c>
      <c r="B8" s="54" t="s">
        <v>10</v>
      </c>
    </row>
    <row r="9" spans="1:2" ht="43.5" customHeight="1">
      <c r="A9" s="62" t="s">
        <v>11</v>
      </c>
      <c r="B9" s="54" t="s">
        <v>12</v>
      </c>
    </row>
    <row r="10" spans="1:2" ht="43.5" customHeight="1">
      <c r="A10" s="62" t="s">
        <v>13</v>
      </c>
      <c r="B10" s="54" t="s">
        <v>14</v>
      </c>
    </row>
    <row r="11" spans="1:2" ht="43.5" customHeight="1">
      <c r="A11" s="62" t="s">
        <v>15</v>
      </c>
      <c r="B11" s="54" t="s">
        <v>16</v>
      </c>
    </row>
    <row r="13" spans="1:2">
      <c r="A13" s="60" t="s">
        <v>17</v>
      </c>
    </row>
    <row r="14" spans="1:2">
      <c r="A14" s="55" t="s">
        <v>18</v>
      </c>
    </row>
    <row r="15" spans="1:2">
      <c r="A15" s="56" t="s">
        <v>19</v>
      </c>
    </row>
    <row r="16" spans="1:2">
      <c r="A16" s="57" t="s">
        <v>20</v>
      </c>
    </row>
    <row r="17" spans="1:1">
      <c r="A17" s="58" t="s">
        <v>21</v>
      </c>
    </row>
    <row r="18" spans="1:1">
      <c r="A18" s="59" t="s">
        <v>22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C40"/>
  <sheetViews>
    <sheetView showGridLines="0" zoomScaleNormal="100" workbookViewId="0">
      <pane xSplit="3" ySplit="1" topLeftCell="D2" activePane="bottomRight" state="frozen"/>
      <selection pane="bottomRight" activeCell="H11" sqref="H11"/>
      <selection pane="bottomLeft" activeCell="A2" sqref="A2"/>
      <selection pane="topRight" activeCell="D1" sqref="D1"/>
    </sheetView>
  </sheetViews>
  <sheetFormatPr defaultColWidth="0" defaultRowHeight="14.25" zeroHeight="1"/>
  <cols>
    <col min="1" max="1" width="15.5703125" style="63" bestFit="1" customWidth="1"/>
    <col min="2" max="2" width="7.42578125" style="75" bestFit="1" customWidth="1"/>
    <col min="3" max="3" width="16.42578125" style="76" bestFit="1" customWidth="1"/>
    <col min="4" max="4" width="39.28515625" style="63" customWidth="1"/>
    <col min="5" max="5" width="11.5703125" style="76" bestFit="1" customWidth="1"/>
    <col min="6" max="6" width="10" style="63" customWidth="1"/>
    <col min="7" max="8" width="29.42578125" style="63" bestFit="1" customWidth="1"/>
    <col min="9" max="9" width="24" style="249" customWidth="1"/>
    <col min="10" max="10" width="8.7109375" style="63" customWidth="1"/>
    <col min="11" max="16383" width="9.140625" style="63" hidden="1"/>
    <col min="16384" max="16384" width="3.5703125" style="63" hidden="1"/>
  </cols>
  <sheetData>
    <row r="1" spans="1:9" ht="31.5" customHeight="1" thickBot="1">
      <c r="A1" s="19" t="s">
        <v>23</v>
      </c>
      <c r="B1" s="19" t="s">
        <v>24</v>
      </c>
      <c r="C1" s="223" t="s">
        <v>25</v>
      </c>
      <c r="D1" s="223" t="s">
        <v>26</v>
      </c>
      <c r="E1" s="223" t="s">
        <v>27</v>
      </c>
      <c r="F1" s="223" t="s">
        <v>28</v>
      </c>
      <c r="G1" s="256" t="s">
        <v>29</v>
      </c>
      <c r="H1" s="257" t="s">
        <v>30</v>
      </c>
      <c r="I1" s="224" t="s">
        <v>31</v>
      </c>
    </row>
    <row r="2" spans="1:9">
      <c r="A2" s="316" t="s">
        <v>32</v>
      </c>
      <c r="B2" s="78">
        <v>1</v>
      </c>
      <c r="C2" s="81" t="s">
        <v>33</v>
      </c>
      <c r="D2" s="85" t="s">
        <v>34</v>
      </c>
      <c r="E2" s="78">
        <v>3</v>
      </c>
      <c r="F2" s="91" t="s">
        <v>35</v>
      </c>
      <c r="G2" s="94" t="s">
        <v>36</v>
      </c>
      <c r="H2" s="237" t="s">
        <v>37</v>
      </c>
      <c r="I2" s="100"/>
    </row>
    <row r="3" spans="1:9">
      <c r="A3" s="317"/>
      <c r="B3" s="79">
        <v>2</v>
      </c>
      <c r="C3" s="82" t="s">
        <v>38</v>
      </c>
      <c r="D3" s="86" t="s">
        <v>39</v>
      </c>
      <c r="E3" s="79">
        <v>3</v>
      </c>
      <c r="F3" s="92" t="s">
        <v>35</v>
      </c>
      <c r="G3" s="95" t="s">
        <v>40</v>
      </c>
      <c r="H3" s="238" t="s">
        <v>41</v>
      </c>
      <c r="I3" s="101"/>
    </row>
    <row r="4" spans="1:9">
      <c r="A4" s="317"/>
      <c r="B4" s="79">
        <v>3</v>
      </c>
      <c r="C4" s="82" t="s">
        <v>42</v>
      </c>
      <c r="D4" s="87" t="s">
        <v>43</v>
      </c>
      <c r="E4" s="79">
        <v>3</v>
      </c>
      <c r="F4" s="92" t="s">
        <v>35</v>
      </c>
      <c r="G4" s="95" t="s">
        <v>44</v>
      </c>
      <c r="H4" s="238" t="s">
        <v>45</v>
      </c>
      <c r="I4" s="101"/>
    </row>
    <row r="5" spans="1:9">
      <c r="A5" s="317"/>
      <c r="B5" s="79">
        <v>4</v>
      </c>
      <c r="C5" s="82" t="s">
        <v>46</v>
      </c>
      <c r="D5" s="87" t="s">
        <v>47</v>
      </c>
      <c r="E5" s="89">
        <v>3</v>
      </c>
      <c r="F5" s="92" t="s">
        <v>35</v>
      </c>
      <c r="G5" s="95" t="s">
        <v>48</v>
      </c>
      <c r="H5" s="238" t="s">
        <v>49</v>
      </c>
      <c r="I5" s="102"/>
    </row>
    <row r="6" spans="1:9">
      <c r="A6" s="317"/>
      <c r="B6" s="79">
        <v>5</v>
      </c>
      <c r="C6" s="82" t="s">
        <v>50</v>
      </c>
      <c r="D6" s="87" t="s">
        <v>51</v>
      </c>
      <c r="E6" s="89">
        <v>3</v>
      </c>
      <c r="F6" s="92" t="s">
        <v>35</v>
      </c>
      <c r="G6" s="95" t="s">
        <v>52</v>
      </c>
      <c r="H6" s="238" t="s">
        <v>40</v>
      </c>
      <c r="I6" s="102"/>
    </row>
    <row r="7" spans="1:9">
      <c r="A7" s="317"/>
      <c r="B7" s="79">
        <v>6</v>
      </c>
      <c r="C7" s="82" t="s">
        <v>53</v>
      </c>
      <c r="D7" s="87" t="s">
        <v>54</v>
      </c>
      <c r="E7" s="89">
        <v>3</v>
      </c>
      <c r="F7" s="92" t="s">
        <v>35</v>
      </c>
      <c r="G7" s="95" t="s">
        <v>55</v>
      </c>
      <c r="H7" s="238" t="s">
        <v>36</v>
      </c>
      <c r="I7" s="102"/>
    </row>
    <row r="8" spans="1:9">
      <c r="A8" s="317"/>
      <c r="B8" s="79">
        <v>7</v>
      </c>
      <c r="C8" s="82" t="s">
        <v>56</v>
      </c>
      <c r="D8" s="87" t="s">
        <v>57</v>
      </c>
      <c r="E8" s="89">
        <v>3</v>
      </c>
      <c r="F8" s="92" t="s">
        <v>35</v>
      </c>
      <c r="G8" s="96" t="s">
        <v>58</v>
      </c>
      <c r="H8" s="239" t="s">
        <v>59</v>
      </c>
      <c r="I8" s="102"/>
    </row>
    <row r="9" spans="1:9" ht="13.5" customHeight="1">
      <c r="A9" s="317"/>
      <c r="B9" s="79">
        <v>8</v>
      </c>
      <c r="C9" s="82" t="s">
        <v>60</v>
      </c>
      <c r="D9" s="87" t="s">
        <v>61</v>
      </c>
      <c r="E9" s="89">
        <v>3</v>
      </c>
      <c r="F9" s="92" t="s">
        <v>35</v>
      </c>
      <c r="G9" s="97" t="s">
        <v>48</v>
      </c>
      <c r="H9" s="240" t="s">
        <v>62</v>
      </c>
      <c r="I9" s="102"/>
    </row>
    <row r="10" spans="1:9">
      <c r="A10" s="317"/>
      <c r="B10" s="79">
        <v>9</v>
      </c>
      <c r="C10" s="82" t="s">
        <v>63</v>
      </c>
      <c r="D10" s="86" t="s">
        <v>64</v>
      </c>
      <c r="E10" s="89">
        <v>3</v>
      </c>
      <c r="F10" s="92" t="s">
        <v>35</v>
      </c>
      <c r="G10" s="98" t="s">
        <v>52</v>
      </c>
      <c r="H10" s="241" t="s">
        <v>65</v>
      </c>
      <c r="I10" s="102"/>
    </row>
    <row r="11" spans="1:9" ht="15" customHeight="1">
      <c r="A11" s="317"/>
      <c r="B11" s="79">
        <v>10</v>
      </c>
      <c r="C11" s="82" t="s">
        <v>66</v>
      </c>
      <c r="D11" s="87" t="s">
        <v>67</v>
      </c>
      <c r="E11" s="89">
        <v>3</v>
      </c>
      <c r="F11" s="92" t="s">
        <v>35</v>
      </c>
      <c r="G11" s="95" t="s">
        <v>44</v>
      </c>
      <c r="H11" s="238" t="s">
        <v>52</v>
      </c>
      <c r="I11" s="102"/>
    </row>
    <row r="12" spans="1:9">
      <c r="A12" s="317"/>
      <c r="B12" s="79">
        <v>11</v>
      </c>
      <c r="C12" s="83" t="s">
        <v>68</v>
      </c>
      <c r="D12" s="87" t="s">
        <v>69</v>
      </c>
      <c r="E12" s="89">
        <v>3</v>
      </c>
      <c r="F12" s="92" t="s">
        <v>35</v>
      </c>
      <c r="G12" s="95" t="s">
        <v>41</v>
      </c>
      <c r="H12" s="238" t="s">
        <v>45</v>
      </c>
      <c r="I12" s="102"/>
    </row>
    <row r="13" spans="1:9">
      <c r="A13" s="317"/>
      <c r="B13" s="79">
        <v>12</v>
      </c>
      <c r="C13" s="83" t="s">
        <v>70</v>
      </c>
      <c r="D13" s="87" t="s">
        <v>71</v>
      </c>
      <c r="E13" s="89">
        <v>3</v>
      </c>
      <c r="F13" s="92" t="s">
        <v>35</v>
      </c>
      <c r="G13" s="95" t="s">
        <v>65</v>
      </c>
      <c r="H13" s="238" t="s">
        <v>62</v>
      </c>
      <c r="I13" s="102"/>
    </row>
    <row r="14" spans="1:9" ht="15" thickBot="1">
      <c r="A14" s="318"/>
      <c r="B14" s="80">
        <v>13</v>
      </c>
      <c r="C14" s="84" t="s">
        <v>72</v>
      </c>
      <c r="D14" s="88" t="s">
        <v>73</v>
      </c>
      <c r="E14" s="90">
        <v>3</v>
      </c>
      <c r="F14" s="93" t="s">
        <v>35</v>
      </c>
      <c r="G14" s="99" t="s">
        <v>58</v>
      </c>
      <c r="H14" s="242" t="s">
        <v>48</v>
      </c>
      <c r="I14" s="103"/>
    </row>
    <row r="15" spans="1:9" hidden="1">
      <c r="A15" s="226"/>
      <c r="B15" s="61"/>
      <c r="C15" s="227"/>
      <c r="D15" s="227"/>
      <c r="E15" s="61"/>
      <c r="F15" s="158"/>
      <c r="G15" s="77"/>
      <c r="H15" s="77"/>
      <c r="I15" s="245"/>
    </row>
    <row r="16" spans="1:9" hidden="1">
      <c r="A16" s="226"/>
      <c r="B16" s="61"/>
      <c r="C16" s="227"/>
      <c r="D16" s="227"/>
      <c r="E16" s="61"/>
      <c r="F16" s="158"/>
      <c r="G16" s="77"/>
      <c r="H16" s="77"/>
      <c r="I16" s="245"/>
    </row>
    <row r="17" spans="1:9" hidden="1">
      <c r="A17" s="226"/>
      <c r="B17" s="61"/>
      <c r="C17" s="227"/>
      <c r="D17" s="228"/>
      <c r="E17" s="61"/>
      <c r="F17" s="158"/>
      <c r="G17" s="77"/>
      <c r="H17" s="77"/>
      <c r="I17" s="245"/>
    </row>
    <row r="18" spans="1:9" hidden="1">
      <c r="A18" s="226"/>
      <c r="B18" s="61"/>
      <c r="C18" s="227"/>
      <c r="D18" s="228"/>
      <c r="E18" s="61"/>
      <c r="F18" s="158"/>
      <c r="G18" s="61"/>
      <c r="H18" s="61"/>
      <c r="I18" s="246"/>
    </row>
    <row r="19" spans="1:9" hidden="1">
      <c r="A19" s="226"/>
      <c r="B19" s="61"/>
      <c r="C19" s="227"/>
      <c r="D19" s="228"/>
      <c r="E19" s="61"/>
      <c r="F19" s="158"/>
      <c r="G19" s="77"/>
      <c r="H19" s="77"/>
      <c r="I19" s="245"/>
    </row>
    <row r="20" spans="1:9" hidden="1">
      <c r="A20" s="226"/>
      <c r="B20" s="61"/>
      <c r="C20" s="227"/>
      <c r="D20" s="228"/>
      <c r="E20" s="61"/>
      <c r="F20" s="158"/>
      <c r="G20" s="77"/>
      <c r="H20" s="77"/>
      <c r="I20" s="245"/>
    </row>
    <row r="21" spans="1:9" hidden="1">
      <c r="A21" s="64"/>
      <c r="B21" s="65"/>
      <c r="C21" s="66"/>
      <c r="D21" s="225"/>
      <c r="E21" s="65"/>
      <c r="F21" s="46"/>
      <c r="G21" s="67"/>
      <c r="H21" s="243"/>
      <c r="I21" s="247"/>
    </row>
    <row r="22" spans="1:9" hidden="1">
      <c r="A22" s="68"/>
      <c r="B22" s="69"/>
      <c r="C22" s="70"/>
      <c r="D22" s="72"/>
      <c r="E22" s="69"/>
      <c r="F22" s="47"/>
      <c r="G22" s="71"/>
      <c r="H22" s="244"/>
      <c r="I22" s="248"/>
    </row>
    <row r="23" spans="1:9" hidden="1">
      <c r="A23" s="68"/>
      <c r="B23" s="69"/>
      <c r="C23" s="70"/>
      <c r="D23" s="72"/>
      <c r="E23" s="69"/>
      <c r="F23" s="47"/>
      <c r="G23" s="71"/>
      <c r="H23" s="244"/>
      <c r="I23" s="248"/>
    </row>
    <row r="24" spans="1:9" hidden="1">
      <c r="A24" s="68"/>
      <c r="B24" s="69"/>
      <c r="C24" s="70"/>
      <c r="D24" s="72"/>
      <c r="E24" s="69"/>
      <c r="F24" s="47"/>
      <c r="G24" s="71"/>
      <c r="H24" s="244"/>
      <c r="I24" s="248"/>
    </row>
    <row r="25" spans="1:9" hidden="1">
      <c r="A25" s="68"/>
      <c r="B25" s="69"/>
      <c r="C25" s="70"/>
      <c r="D25" s="70"/>
      <c r="E25" s="69"/>
      <c r="F25" s="47"/>
      <c r="G25" s="71"/>
      <c r="H25" s="244"/>
      <c r="I25" s="248"/>
    </row>
    <row r="26" spans="1:9" hidden="1">
      <c r="A26" s="68"/>
      <c r="B26" s="69"/>
      <c r="C26" s="70"/>
      <c r="D26" s="70"/>
      <c r="E26" s="69"/>
      <c r="F26" s="47"/>
      <c r="G26" s="71"/>
      <c r="H26" s="244"/>
      <c r="I26" s="248"/>
    </row>
    <row r="27" spans="1:9" hidden="1">
      <c r="A27" s="68"/>
      <c r="B27" s="69"/>
      <c r="C27" s="70"/>
      <c r="D27" s="72"/>
      <c r="E27" s="69"/>
      <c r="F27" s="47"/>
      <c r="G27" s="71"/>
      <c r="H27" s="244"/>
      <c r="I27" s="248"/>
    </row>
    <row r="28" spans="1:9" hidden="1">
      <c r="A28" s="68"/>
      <c r="B28" s="69"/>
      <c r="C28" s="70"/>
      <c r="D28" s="72"/>
      <c r="E28" s="69"/>
      <c r="F28" s="47"/>
      <c r="G28" s="71"/>
      <c r="H28" s="244"/>
      <c r="I28" s="248"/>
    </row>
    <row r="29" spans="1:9" hidden="1">
      <c r="A29" s="68"/>
      <c r="B29" s="69"/>
      <c r="C29" s="70"/>
      <c r="D29" s="72"/>
      <c r="E29" s="69"/>
      <c r="F29" s="47"/>
      <c r="G29" s="71"/>
      <c r="H29" s="244"/>
      <c r="I29" s="248"/>
    </row>
    <row r="30" spans="1:9" hidden="1">
      <c r="A30" s="68"/>
      <c r="B30" s="69"/>
      <c r="C30" s="70"/>
      <c r="D30" s="72"/>
      <c r="E30" s="69"/>
      <c r="F30" s="47"/>
      <c r="G30" s="71"/>
      <c r="H30" s="244"/>
      <c r="I30" s="248"/>
    </row>
    <row r="31" spans="1:9" hidden="1">
      <c r="A31" s="68"/>
      <c r="B31" s="69"/>
      <c r="C31" s="72"/>
      <c r="D31" s="72"/>
      <c r="E31" s="69"/>
      <c r="F31" s="47"/>
      <c r="G31" s="71"/>
      <c r="H31" s="244"/>
      <c r="I31" s="248"/>
    </row>
    <row r="32" spans="1:9" hidden="1">
      <c r="A32" s="68"/>
      <c r="B32" s="69"/>
      <c r="C32" s="72"/>
      <c r="D32" s="72"/>
      <c r="E32" s="69"/>
      <c r="F32" s="47"/>
      <c r="G32" s="71"/>
      <c r="H32" s="244"/>
      <c r="I32" s="248"/>
    </row>
    <row r="33" spans="1:9" hidden="1">
      <c r="A33" s="68"/>
      <c r="B33" s="47"/>
      <c r="C33" s="73"/>
      <c r="D33" s="69"/>
      <c r="E33" s="47"/>
      <c r="F33" s="47"/>
      <c r="G33" s="71"/>
      <c r="H33" s="244"/>
      <c r="I33" s="248"/>
    </row>
    <row r="34" spans="1:9" hidden="1">
      <c r="A34" s="74"/>
      <c r="D34" s="77"/>
      <c r="E34" s="75"/>
      <c r="F34" s="77"/>
      <c r="G34" s="77"/>
      <c r="H34" s="77"/>
      <c r="I34" s="245"/>
    </row>
    <row r="35" spans="1:9" hidden="1">
      <c r="E35" s="75"/>
      <c r="F35" s="77"/>
      <c r="G35" s="77"/>
      <c r="H35" s="77"/>
      <c r="I35" s="245"/>
    </row>
    <row r="36" spans="1:9" hidden="1">
      <c r="E36" s="75"/>
      <c r="F36" s="77"/>
      <c r="G36" s="77"/>
      <c r="H36" s="77"/>
      <c r="I36" s="245"/>
    </row>
    <row r="37" spans="1:9" hidden="1">
      <c r="C37" s="75"/>
      <c r="D37" s="77"/>
      <c r="E37" s="75"/>
      <c r="F37" s="77"/>
      <c r="G37" s="77"/>
      <c r="H37" s="77"/>
      <c r="I37" s="245"/>
    </row>
    <row r="38" spans="1:9" hidden="1">
      <c r="C38" s="75"/>
      <c r="D38" s="77"/>
      <c r="E38" s="75"/>
      <c r="F38" s="77"/>
      <c r="G38" s="77"/>
      <c r="H38" s="77"/>
      <c r="I38" s="245"/>
    </row>
    <row r="39" spans="1:9" hidden="1">
      <c r="C39" s="75"/>
      <c r="D39" s="77"/>
      <c r="E39" s="75"/>
      <c r="F39" s="77"/>
      <c r="G39" s="77"/>
      <c r="H39" s="77"/>
      <c r="I39" s="245"/>
    </row>
    <row r="40" spans="1:9" hidden="1">
      <c r="C40" s="75"/>
      <c r="D40" s="77"/>
      <c r="E40" s="75"/>
      <c r="F40" s="77"/>
      <c r="G40" s="77"/>
      <c r="H40" s="77"/>
      <c r="I40" s="245"/>
    </row>
  </sheetData>
  <mergeCells count="1">
    <mergeCell ref="A2:A14"/>
  </mergeCells>
  <dataValidations count="1">
    <dataValidation type="list" allowBlank="1" showInputMessage="1" showErrorMessage="1" sqref="G2:H14" xr:uid="{571FBA6A-A60E-4710-8A74-74D81A418763}">
      <formula1>Faculty_List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DCD9-A7A6-4DDB-8B5F-B87279265FB3}">
  <dimension ref="A1:XFC27"/>
  <sheetViews>
    <sheetView showGridLines="0" zoomScaleNormal="100" workbookViewId="0">
      <pane xSplit="3" ySplit="1" topLeftCell="D2" activePane="bottomRight" state="frozen"/>
      <selection pane="bottomRight" activeCell="K19" sqref="K19"/>
      <selection pane="bottomLeft" activeCell="A2" sqref="A2"/>
      <selection pane="topRight" activeCell="D1" sqref="D1"/>
    </sheetView>
  </sheetViews>
  <sheetFormatPr defaultColWidth="0" defaultRowHeight="15" zeroHeight="1"/>
  <cols>
    <col min="1" max="1" width="13.28515625" customWidth="1"/>
    <col min="2" max="2" width="7.42578125" style="4" customWidth="1"/>
    <col min="3" max="3" width="11.140625" style="2" customWidth="1"/>
    <col min="4" max="4" width="39.28515625" customWidth="1"/>
    <col min="5" max="5" width="8.7109375" style="2" customWidth="1"/>
    <col min="6" max="6" width="7.7109375" customWidth="1"/>
    <col min="7" max="7" width="29.42578125" bestFit="1" customWidth="1"/>
    <col min="8" max="8" width="25.7109375" bestFit="1" customWidth="1"/>
    <col min="9" max="9" width="23.85546875" bestFit="1" customWidth="1"/>
    <col min="10" max="10" width="25.7109375" bestFit="1" customWidth="1"/>
    <col min="11" max="11" width="29.42578125" bestFit="1" customWidth="1"/>
    <col min="12" max="12" width="24" style="236" customWidth="1"/>
    <col min="13" max="13" width="8.7109375" customWidth="1"/>
    <col min="14" max="16383" width="8.7109375" hidden="1"/>
    <col min="16384" max="16384" width="5.140625" hidden="1"/>
  </cols>
  <sheetData>
    <row r="1" spans="1:12" s="5" customFormat="1" ht="31.5" customHeight="1" thickBot="1">
      <c r="A1" s="229" t="s">
        <v>23</v>
      </c>
      <c r="B1" s="19" t="s">
        <v>24</v>
      </c>
      <c r="C1" s="223" t="s">
        <v>25</v>
      </c>
      <c r="D1" s="223" t="s">
        <v>26</v>
      </c>
      <c r="E1" s="223" t="s">
        <v>27</v>
      </c>
      <c r="F1" s="223" t="s">
        <v>28</v>
      </c>
      <c r="G1" s="211" t="s">
        <v>29</v>
      </c>
      <c r="H1" s="230" t="s">
        <v>30</v>
      </c>
      <c r="I1" s="230" t="s">
        <v>74</v>
      </c>
      <c r="J1" s="230" t="s">
        <v>75</v>
      </c>
      <c r="K1" s="148" t="s">
        <v>76</v>
      </c>
      <c r="L1" s="224" t="s">
        <v>31</v>
      </c>
    </row>
    <row r="2" spans="1:12">
      <c r="A2" s="316" t="s">
        <v>77</v>
      </c>
      <c r="B2" s="333">
        <v>1</v>
      </c>
      <c r="C2" s="336" t="s">
        <v>78</v>
      </c>
      <c r="D2" s="321" t="s">
        <v>79</v>
      </c>
      <c r="E2" s="325">
        <v>1.5</v>
      </c>
      <c r="F2" s="121" t="s">
        <v>80</v>
      </c>
      <c r="G2" s="125" t="s">
        <v>40</v>
      </c>
      <c r="H2" s="126" t="s">
        <v>41</v>
      </c>
      <c r="I2" s="126" t="s">
        <v>45</v>
      </c>
      <c r="J2" s="127"/>
      <c r="K2" s="231"/>
      <c r="L2" s="343"/>
    </row>
    <row r="3" spans="1:12">
      <c r="A3" s="317"/>
      <c r="B3" s="334"/>
      <c r="C3" s="320"/>
      <c r="D3" s="322"/>
      <c r="E3" s="326"/>
      <c r="F3" s="122" t="s">
        <v>81</v>
      </c>
      <c r="G3" s="128" t="s">
        <v>40</v>
      </c>
      <c r="H3" s="109" t="s">
        <v>41</v>
      </c>
      <c r="I3" s="109" t="s">
        <v>45</v>
      </c>
      <c r="J3" s="112"/>
      <c r="K3" s="232"/>
      <c r="L3" s="342"/>
    </row>
    <row r="4" spans="1:12">
      <c r="A4" s="317"/>
      <c r="B4" s="335">
        <v>2</v>
      </c>
      <c r="C4" s="319" t="s">
        <v>82</v>
      </c>
      <c r="D4" s="323" t="s">
        <v>83</v>
      </c>
      <c r="E4" s="311">
        <v>3</v>
      </c>
      <c r="F4" s="123" t="s">
        <v>80</v>
      </c>
      <c r="G4" s="129" t="s">
        <v>52</v>
      </c>
      <c r="H4" s="108" t="s">
        <v>55</v>
      </c>
      <c r="I4" s="108" t="s">
        <v>44</v>
      </c>
      <c r="J4" s="108" t="s">
        <v>45</v>
      </c>
      <c r="K4" s="199"/>
      <c r="L4" s="341"/>
    </row>
    <row r="5" spans="1:12">
      <c r="A5" s="317"/>
      <c r="B5" s="334"/>
      <c r="C5" s="320"/>
      <c r="D5" s="324"/>
      <c r="E5" s="326"/>
      <c r="F5" s="122" t="s">
        <v>81</v>
      </c>
      <c r="G5" s="128" t="s">
        <v>52</v>
      </c>
      <c r="H5" s="109" t="s">
        <v>55</v>
      </c>
      <c r="I5" s="109" t="s">
        <v>44</v>
      </c>
      <c r="J5" s="109" t="s">
        <v>59</v>
      </c>
      <c r="K5" s="232"/>
      <c r="L5" s="342"/>
    </row>
    <row r="6" spans="1:12">
      <c r="A6" s="317"/>
      <c r="B6" s="335">
        <v>3</v>
      </c>
      <c r="C6" s="319" t="s">
        <v>84</v>
      </c>
      <c r="D6" s="323" t="s">
        <v>85</v>
      </c>
      <c r="E6" s="311">
        <v>3</v>
      </c>
      <c r="F6" s="123" t="s">
        <v>80</v>
      </c>
      <c r="G6" s="129" t="s">
        <v>52</v>
      </c>
      <c r="H6" s="108" t="s">
        <v>40</v>
      </c>
      <c r="I6" s="108" t="s">
        <v>59</v>
      </c>
      <c r="J6" s="111"/>
      <c r="K6" s="199"/>
      <c r="L6" s="339"/>
    </row>
    <row r="7" spans="1:12">
      <c r="A7" s="317"/>
      <c r="B7" s="334"/>
      <c r="C7" s="320"/>
      <c r="D7" s="324"/>
      <c r="E7" s="326"/>
      <c r="F7" s="122" t="s">
        <v>81</v>
      </c>
      <c r="G7" s="128" t="s">
        <v>52</v>
      </c>
      <c r="H7" s="109" t="s">
        <v>40</v>
      </c>
      <c r="I7" s="109" t="s">
        <v>49</v>
      </c>
      <c r="J7" s="112"/>
      <c r="K7" s="232"/>
      <c r="L7" s="340"/>
    </row>
    <row r="8" spans="1:12">
      <c r="A8" s="317"/>
      <c r="B8" s="327">
        <v>4</v>
      </c>
      <c r="C8" s="319" t="s">
        <v>86</v>
      </c>
      <c r="D8" s="331" t="s">
        <v>87</v>
      </c>
      <c r="E8" s="311">
        <v>3</v>
      </c>
      <c r="F8" s="123" t="s">
        <v>80</v>
      </c>
      <c r="G8" s="129" t="s">
        <v>55</v>
      </c>
      <c r="H8" s="108" t="s">
        <v>41</v>
      </c>
      <c r="I8" s="108" t="s">
        <v>45</v>
      </c>
      <c r="J8" s="111"/>
      <c r="K8" s="199"/>
      <c r="L8" s="339"/>
    </row>
    <row r="9" spans="1:12">
      <c r="A9" s="317"/>
      <c r="B9" s="328"/>
      <c r="C9" s="320"/>
      <c r="D9" s="332"/>
      <c r="E9" s="326"/>
      <c r="F9" s="122" t="s">
        <v>81</v>
      </c>
      <c r="G9" s="128" t="s">
        <v>55</v>
      </c>
      <c r="H9" s="109" t="s">
        <v>41</v>
      </c>
      <c r="I9" s="109" t="s">
        <v>45</v>
      </c>
      <c r="J9" s="112"/>
      <c r="K9" s="232"/>
      <c r="L9" s="340"/>
    </row>
    <row r="10" spans="1:12">
      <c r="A10" s="317"/>
      <c r="B10" s="327">
        <v>5</v>
      </c>
      <c r="C10" s="319" t="s">
        <v>88</v>
      </c>
      <c r="D10" s="331" t="s">
        <v>89</v>
      </c>
      <c r="E10" s="311">
        <v>1.5</v>
      </c>
      <c r="F10" s="123" t="s">
        <v>80</v>
      </c>
      <c r="G10" s="129" t="s">
        <v>58</v>
      </c>
      <c r="H10" s="108" t="s">
        <v>62</v>
      </c>
      <c r="I10" s="108" t="s">
        <v>49</v>
      </c>
      <c r="J10" s="111"/>
      <c r="K10" s="199"/>
      <c r="L10" s="339"/>
    </row>
    <row r="11" spans="1:12" ht="15" customHeight="1">
      <c r="A11" s="317"/>
      <c r="B11" s="328"/>
      <c r="C11" s="320"/>
      <c r="D11" s="332"/>
      <c r="E11" s="326"/>
      <c r="F11" s="122" t="s">
        <v>81</v>
      </c>
      <c r="G11" s="128" t="s">
        <v>58</v>
      </c>
      <c r="H11" s="109" t="s">
        <v>62</v>
      </c>
      <c r="I11" s="109" t="s">
        <v>49</v>
      </c>
      <c r="J11" s="112"/>
      <c r="K11" s="232"/>
      <c r="L11" s="340"/>
    </row>
    <row r="12" spans="1:12">
      <c r="A12" s="317"/>
      <c r="B12" s="327">
        <v>6</v>
      </c>
      <c r="C12" s="319" t="s">
        <v>90</v>
      </c>
      <c r="D12" s="337" t="s">
        <v>91</v>
      </c>
      <c r="E12" s="311">
        <v>3</v>
      </c>
      <c r="F12" s="123" t="s">
        <v>80</v>
      </c>
      <c r="G12" s="129" t="s">
        <v>52</v>
      </c>
      <c r="H12" s="108" t="s">
        <v>48</v>
      </c>
      <c r="I12" s="108" t="s">
        <v>40</v>
      </c>
      <c r="J12" s="108" t="s">
        <v>55</v>
      </c>
      <c r="K12" s="201" t="s">
        <v>45</v>
      </c>
      <c r="L12" s="339"/>
    </row>
    <row r="13" spans="1:12">
      <c r="A13" s="317"/>
      <c r="B13" s="328"/>
      <c r="C13" s="320"/>
      <c r="D13" s="338"/>
      <c r="E13" s="326"/>
      <c r="F13" s="122" t="s">
        <v>81</v>
      </c>
      <c r="G13" s="128" t="s">
        <v>48</v>
      </c>
      <c r="H13" s="109" t="s">
        <v>58</v>
      </c>
      <c r="I13" s="109" t="s">
        <v>40</v>
      </c>
      <c r="J13" s="109" t="s">
        <v>41</v>
      </c>
      <c r="K13" s="233" t="s">
        <v>62</v>
      </c>
      <c r="L13" s="340"/>
    </row>
    <row r="14" spans="1:12">
      <c r="A14" s="317"/>
      <c r="B14" s="327">
        <v>7</v>
      </c>
      <c r="C14" s="319" t="s">
        <v>92</v>
      </c>
      <c r="D14" s="331" t="s">
        <v>93</v>
      </c>
      <c r="E14" s="311">
        <v>3</v>
      </c>
      <c r="F14" s="123" t="s">
        <v>80</v>
      </c>
      <c r="G14" s="129" t="s">
        <v>48</v>
      </c>
      <c r="H14" s="108" t="s">
        <v>62</v>
      </c>
      <c r="I14" s="108" t="s">
        <v>49</v>
      </c>
      <c r="J14" s="111"/>
      <c r="K14" s="199"/>
      <c r="L14" s="339"/>
    </row>
    <row r="15" spans="1:12" ht="15" customHeight="1">
      <c r="A15" s="317"/>
      <c r="B15" s="328"/>
      <c r="C15" s="320"/>
      <c r="D15" s="332"/>
      <c r="E15" s="326"/>
      <c r="F15" s="122" t="s">
        <v>81</v>
      </c>
      <c r="G15" s="128" t="s">
        <v>48</v>
      </c>
      <c r="H15" s="109" t="s">
        <v>62</v>
      </c>
      <c r="I15" s="109" t="s">
        <v>49</v>
      </c>
      <c r="J15" s="112"/>
      <c r="K15" s="232"/>
      <c r="L15" s="340"/>
    </row>
    <row r="16" spans="1:12">
      <c r="A16" s="317"/>
      <c r="B16" s="327">
        <v>8</v>
      </c>
      <c r="C16" s="319" t="s">
        <v>94</v>
      </c>
      <c r="D16" s="331" t="s">
        <v>95</v>
      </c>
      <c r="E16" s="311">
        <v>3</v>
      </c>
      <c r="F16" s="123" t="s">
        <v>80</v>
      </c>
      <c r="G16" s="129" t="s">
        <v>58</v>
      </c>
      <c r="H16" s="108" t="s">
        <v>62</v>
      </c>
      <c r="I16" s="108" t="s">
        <v>49</v>
      </c>
      <c r="J16" s="111"/>
      <c r="K16" s="199"/>
      <c r="L16" s="339"/>
    </row>
    <row r="17" spans="1:12">
      <c r="A17" s="317"/>
      <c r="B17" s="328"/>
      <c r="C17" s="320"/>
      <c r="D17" s="332"/>
      <c r="E17" s="326"/>
      <c r="F17" s="122" t="s">
        <v>81</v>
      </c>
      <c r="G17" s="128" t="s">
        <v>44</v>
      </c>
      <c r="H17" s="109" t="s">
        <v>59</v>
      </c>
      <c r="I17" s="109" t="s">
        <v>49</v>
      </c>
      <c r="J17" s="112"/>
      <c r="K17" s="232"/>
      <c r="L17" s="340"/>
    </row>
    <row r="18" spans="1:12">
      <c r="A18" s="317"/>
      <c r="B18" s="327">
        <v>9</v>
      </c>
      <c r="C18" s="329" t="s">
        <v>96</v>
      </c>
      <c r="D18" s="331" t="s">
        <v>97</v>
      </c>
      <c r="E18" s="311">
        <v>3</v>
      </c>
      <c r="F18" s="123" t="s">
        <v>80</v>
      </c>
      <c r="G18" s="129" t="s">
        <v>58</v>
      </c>
      <c r="H18" s="108" t="s">
        <v>44</v>
      </c>
      <c r="I18" s="108" t="s">
        <v>59</v>
      </c>
      <c r="J18" s="111"/>
      <c r="K18" s="199"/>
      <c r="L18" s="341"/>
    </row>
    <row r="19" spans="1:12">
      <c r="A19" s="317"/>
      <c r="B19" s="328"/>
      <c r="C19" s="330"/>
      <c r="D19" s="332"/>
      <c r="E19" s="326"/>
      <c r="F19" s="122" t="s">
        <v>81</v>
      </c>
      <c r="G19" s="128" t="s">
        <v>58</v>
      </c>
      <c r="H19" s="109" t="s">
        <v>44</v>
      </c>
      <c r="I19" s="109" t="s">
        <v>59</v>
      </c>
      <c r="J19" s="112"/>
      <c r="K19" s="232"/>
      <c r="L19" s="342"/>
    </row>
    <row r="20" spans="1:12" ht="15.75" thickBot="1">
      <c r="A20" s="318"/>
      <c r="B20" s="104">
        <v>10</v>
      </c>
      <c r="C20" s="105" t="s">
        <v>98</v>
      </c>
      <c r="D20" s="106" t="s">
        <v>99</v>
      </c>
      <c r="E20" s="107">
        <v>6</v>
      </c>
      <c r="F20" s="124" t="s">
        <v>35</v>
      </c>
      <c r="G20" s="130" t="s">
        <v>36</v>
      </c>
      <c r="H20" s="131" t="s">
        <v>65</v>
      </c>
      <c r="I20" s="131" t="s">
        <v>37</v>
      </c>
      <c r="J20" s="132"/>
      <c r="K20" s="202"/>
      <c r="L20" s="234"/>
    </row>
    <row r="21" spans="1:12" hidden="1">
      <c r="A21" s="3"/>
      <c r="D21" s="5"/>
      <c r="E21" s="4"/>
      <c r="F21" s="5"/>
      <c r="G21" s="5"/>
      <c r="H21" s="5"/>
      <c r="I21" s="5"/>
      <c r="J21" s="5"/>
      <c r="K21" s="5"/>
      <c r="L21" s="235"/>
    </row>
    <row r="22" spans="1:12" hidden="1">
      <c r="E22" s="4"/>
      <c r="F22" s="5"/>
      <c r="G22" s="5"/>
      <c r="H22" s="5"/>
      <c r="I22" s="5"/>
      <c r="J22" s="5"/>
      <c r="K22" s="5"/>
      <c r="L22" s="235"/>
    </row>
    <row r="23" spans="1:12" hidden="1">
      <c r="E23" s="4"/>
      <c r="F23" s="5"/>
      <c r="G23" s="5"/>
      <c r="H23" s="5"/>
      <c r="I23" s="5"/>
      <c r="J23" s="5"/>
      <c r="K23" s="5"/>
      <c r="L23" s="235"/>
    </row>
    <row r="24" spans="1:12" hidden="1">
      <c r="C24" s="4"/>
      <c r="D24" s="5"/>
      <c r="E24" s="4"/>
      <c r="F24" s="5"/>
      <c r="G24" s="5"/>
      <c r="H24" s="5"/>
      <c r="I24" s="5"/>
      <c r="J24" s="5"/>
      <c r="K24" s="5"/>
      <c r="L24" s="235"/>
    </row>
    <row r="25" spans="1:12" hidden="1">
      <c r="C25" s="4"/>
      <c r="D25" s="5"/>
      <c r="E25" s="4"/>
      <c r="F25" s="5"/>
      <c r="G25" s="5"/>
      <c r="H25" s="5"/>
      <c r="I25" s="5"/>
      <c r="J25" s="5"/>
      <c r="K25" s="5"/>
      <c r="L25" s="235"/>
    </row>
    <row r="26" spans="1:12" hidden="1">
      <c r="C26" s="4"/>
      <c r="D26" s="5"/>
      <c r="E26" s="4"/>
      <c r="F26" s="5"/>
      <c r="G26" s="5"/>
      <c r="H26" s="5"/>
      <c r="I26" s="5"/>
      <c r="J26" s="5"/>
      <c r="K26" s="5"/>
      <c r="L26" s="235"/>
    </row>
    <row r="27" spans="1:12" hidden="1">
      <c r="C27" s="4"/>
      <c r="D27" s="5"/>
      <c r="E27" s="4"/>
      <c r="F27" s="5"/>
      <c r="G27" s="5"/>
      <c r="H27" s="5"/>
      <c r="I27" s="5"/>
      <c r="J27" s="5"/>
      <c r="K27" s="5"/>
      <c r="L27" s="235"/>
    </row>
  </sheetData>
  <mergeCells count="46">
    <mergeCell ref="L12:L13"/>
    <mergeCell ref="L14:L15"/>
    <mergeCell ref="L16:L17"/>
    <mergeCell ref="L18:L19"/>
    <mergeCell ref="L2:L3"/>
    <mergeCell ref="L4:L5"/>
    <mergeCell ref="L6:L7"/>
    <mergeCell ref="L8:L9"/>
    <mergeCell ref="L10:L11"/>
    <mergeCell ref="B8:B9"/>
    <mergeCell ref="C8:C9"/>
    <mergeCell ref="D8:D9"/>
    <mergeCell ref="E8:E9"/>
    <mergeCell ref="D16:D17"/>
    <mergeCell ref="E16:E17"/>
    <mergeCell ref="B10:B11"/>
    <mergeCell ref="C10:C11"/>
    <mergeCell ref="D10:D11"/>
    <mergeCell ref="E10:E11"/>
    <mergeCell ref="B12:B13"/>
    <mergeCell ref="C12:C13"/>
    <mergeCell ref="D12:D13"/>
    <mergeCell ref="E12:E13"/>
    <mergeCell ref="B18:B19"/>
    <mergeCell ref="C18:C19"/>
    <mergeCell ref="D18:D19"/>
    <mergeCell ref="E18:E19"/>
    <mergeCell ref="A2:A20"/>
    <mergeCell ref="B2:B3"/>
    <mergeCell ref="B4:B5"/>
    <mergeCell ref="B6:B7"/>
    <mergeCell ref="C2:C3"/>
    <mergeCell ref="C4:C5"/>
    <mergeCell ref="B14:B15"/>
    <mergeCell ref="C14:C15"/>
    <mergeCell ref="D14:D15"/>
    <mergeCell ref="E14:E15"/>
    <mergeCell ref="B16:B17"/>
    <mergeCell ref="C16:C17"/>
    <mergeCell ref="C6:C7"/>
    <mergeCell ref="D2:D3"/>
    <mergeCell ref="D4:D5"/>
    <mergeCell ref="D6:D7"/>
    <mergeCell ref="E2:E3"/>
    <mergeCell ref="E4:E5"/>
    <mergeCell ref="E6:E7"/>
  </mergeCells>
  <dataValidations count="1">
    <dataValidation type="list" allowBlank="1" showInputMessage="1" showErrorMessage="1" sqref="G2:K20" xr:uid="{CD40D01A-EED3-4430-B528-AF15360559C5}">
      <formula1>Faculty_List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DB078-F7F5-4EF8-A5C1-4EC0587A9E46}">
  <dimension ref="A1:XFC33"/>
  <sheetViews>
    <sheetView showGridLines="0" tabSelected="1" zoomScaleNormal="100" workbookViewId="0">
      <pane xSplit="3" ySplit="1" topLeftCell="D2" activePane="bottomRight" state="frozen"/>
      <selection pane="bottomRight" activeCell="K7" sqref="K7"/>
      <selection pane="bottomLeft" activeCell="A3" sqref="A3"/>
      <selection pane="topRight" activeCell="C1" sqref="C1"/>
    </sheetView>
  </sheetViews>
  <sheetFormatPr defaultColWidth="0" defaultRowHeight="15" zeroHeight="1"/>
  <cols>
    <col min="1" max="1" width="8.7109375" style="252" customWidth="1"/>
    <col min="2" max="2" width="7.42578125" style="17" bestFit="1" customWidth="1"/>
    <col min="3" max="3" width="15.5703125" bestFit="1" customWidth="1"/>
    <col min="4" max="4" width="38" bestFit="1" customWidth="1"/>
    <col min="5" max="5" width="7.28515625" hidden="1" customWidth="1"/>
    <col min="6" max="7" width="29.42578125" hidden="1" customWidth="1"/>
    <col min="8" max="8" width="23.7109375" hidden="1" customWidth="1"/>
    <col min="9" max="9" width="26.42578125" hidden="1" customWidth="1"/>
    <col min="10" max="10" width="19.7109375" hidden="1" customWidth="1"/>
    <col min="11" max="11" width="26.42578125" customWidth="1"/>
    <col min="12" max="12" width="16.42578125" customWidth="1"/>
    <col min="13" max="13" width="14.85546875" style="236" bestFit="1" customWidth="1"/>
    <col min="14" max="14" width="8.7109375" customWidth="1"/>
    <col min="15" max="16383" width="8.7109375" hidden="1"/>
    <col min="16384" max="16384" width="13.85546875" hidden="1"/>
  </cols>
  <sheetData>
    <row r="1" spans="1:13" ht="42" customHeight="1">
      <c r="A1" s="251" t="s">
        <v>23</v>
      </c>
      <c r="B1" s="155" t="str">
        <f>'01_Theory Course List'!B1</f>
        <v>SL No.</v>
      </c>
      <c r="C1" s="189" t="str">
        <f>'01_Theory Course List'!C1</f>
        <v>Course Code</v>
      </c>
      <c r="D1" s="190" t="str">
        <f>'01_Theory Course List'!D1</f>
        <v>Course Title</v>
      </c>
      <c r="E1" s="148" t="s">
        <v>28</v>
      </c>
      <c r="F1" s="48" t="s">
        <v>29</v>
      </c>
      <c r="G1" s="168" t="s">
        <v>30</v>
      </c>
      <c r="H1" s="168" t="s">
        <v>74</v>
      </c>
      <c r="I1" s="168" t="s">
        <v>75</v>
      </c>
      <c r="J1" s="166" t="s">
        <v>76</v>
      </c>
      <c r="K1" s="211" t="s">
        <v>100</v>
      </c>
      <c r="L1" s="148" t="s">
        <v>101</v>
      </c>
      <c r="M1" s="262" t="s">
        <v>31</v>
      </c>
    </row>
    <row r="2" spans="1:13" ht="17.25" customHeight="1">
      <c r="A2" s="307" t="s">
        <v>32</v>
      </c>
      <c r="B2" s="152">
        <f>'01_Theory Course List'!B2</f>
        <v>1</v>
      </c>
      <c r="C2" s="26" t="str">
        <f>'01_Theory Course List'!C2</f>
        <v>BME 101</v>
      </c>
      <c r="D2" s="182" t="str">
        <f>'01_Theory Course List'!D2</f>
        <v>Introduction to Biomedical Engineering</v>
      </c>
      <c r="E2" s="302" t="s">
        <v>35</v>
      </c>
      <c r="F2" s="28" t="str">
        <f>IFERROR(INDEX('01_Theory Course List'!$G$2:$G$479,MATCH(C2,'01_Theory Course List'!$C$2:$C$479,0)),"")</f>
        <v>Dr. M. Tarik Arafat</v>
      </c>
      <c r="G2" s="175" t="str">
        <f>IFERROR(INDEX('01_Theory Course List'!$H$2:$H$479,MATCH(C2,'01_Theory Course List'!$C$2:$C$479,0)),"")</f>
        <v>Dr. Jahid Ferdous</v>
      </c>
      <c r="H2" s="176"/>
      <c r="I2" s="176"/>
      <c r="J2" s="177"/>
      <c r="K2" s="253" t="s">
        <v>102</v>
      </c>
      <c r="L2" s="295">
        <v>46200</v>
      </c>
      <c r="M2" s="219"/>
    </row>
    <row r="3" spans="1:13" ht="17.25" customHeight="1">
      <c r="A3" s="308"/>
      <c r="B3" s="153">
        <f>'01_Theory Course List'!B3</f>
        <v>2</v>
      </c>
      <c r="C3" s="38" t="str">
        <f>'01_Theory Course List'!C3</f>
        <v>BME 201</v>
      </c>
      <c r="D3" s="149" t="str">
        <f>'01_Theory Course List'!D3</f>
        <v>Biomechanics</v>
      </c>
      <c r="E3" s="303"/>
      <c r="F3" s="34" t="str">
        <f>IFERROR(INDEX('01_Theory Course List'!$G$2:$G$479,MATCH(C3,'01_Theory Course List'!$C$2:$C$479,0)),"")</f>
        <v>Mr. Md. Abdullah Al Mamun</v>
      </c>
      <c r="G3" s="169" t="str">
        <f>IFERROR(INDEX('01_Theory Course List'!$H$2:$H$479,MATCH(C3,'01_Theory Course List'!$C$2:$C$479,0)),"")</f>
        <v>Ms. Srija Sarker Anannya</v>
      </c>
      <c r="H3" s="170"/>
      <c r="I3" s="170"/>
      <c r="J3" s="167"/>
      <c r="K3" s="32" t="s">
        <v>102</v>
      </c>
      <c r="L3" s="296"/>
      <c r="M3" s="220"/>
    </row>
    <row r="4" spans="1:13" ht="17.25" customHeight="1">
      <c r="A4" s="308"/>
      <c r="B4" s="153">
        <f>'01_Theory Course List'!B4</f>
        <v>3</v>
      </c>
      <c r="C4" s="38" t="str">
        <f>'01_Theory Course List'!C4</f>
        <v>BME 203</v>
      </c>
      <c r="D4" s="149" t="str">
        <f>'01_Theory Course List'!D4</f>
        <v>Human Physiology</v>
      </c>
      <c r="E4" s="303"/>
      <c r="F4" s="34" t="str">
        <f>IFERROR(INDEX('01_Theory Course List'!$G$2:$G$479,MATCH(C4,'01_Theory Course List'!$C$2:$C$479,0)),"")</f>
        <v>Ms. Tasnia Binte Mamun</v>
      </c>
      <c r="G4" s="169" t="str">
        <f>IFERROR(INDEX('01_Theory Course List'!$H$2:$H$479,MATCH(C4,'01_Theory Course List'!$C$2:$C$479,0)),"")</f>
        <v>Ms. Chaity Chakraborty</v>
      </c>
      <c r="H4" s="170"/>
      <c r="I4" s="170"/>
      <c r="J4" s="167"/>
      <c r="K4" s="32" t="s">
        <v>102</v>
      </c>
      <c r="L4" s="296"/>
      <c r="M4" s="220"/>
    </row>
    <row r="5" spans="1:13" ht="17.25" customHeight="1">
      <c r="A5" s="308"/>
      <c r="B5" s="153">
        <f>'01_Theory Course List'!B5</f>
        <v>4</v>
      </c>
      <c r="C5" s="38" t="str">
        <f>'01_Theory Course List'!C5</f>
        <v>BME 211</v>
      </c>
      <c r="D5" s="149" t="str">
        <f>'01_Theory Course List'!D5</f>
        <v>Bioelectricity</v>
      </c>
      <c r="E5" s="303"/>
      <c r="F5" s="34" t="str">
        <f>IFERROR(INDEX('01_Theory Course List'!$G$2:$G$479,MATCH(C5,'01_Theory Course List'!$C$2:$C$479,0)),"")</f>
        <v>Mr. Samiul Based Shuvo</v>
      </c>
      <c r="G5" s="169" t="str">
        <f>IFERROR(INDEX('01_Theory Course List'!$H$2:$H$479,MATCH(C5,'01_Theory Course List'!$C$2:$C$479,0)),"")</f>
        <v>Mr. Sadman Sakib Himel</v>
      </c>
      <c r="H5" s="170"/>
      <c r="I5" s="170"/>
      <c r="J5" s="167"/>
      <c r="K5" s="32" t="s">
        <v>102</v>
      </c>
      <c r="L5" s="296"/>
      <c r="M5" s="220"/>
    </row>
    <row r="6" spans="1:13" ht="17.25" customHeight="1">
      <c r="A6" s="308"/>
      <c r="B6" s="153">
        <f>'01_Theory Course List'!B6</f>
        <v>5</v>
      </c>
      <c r="C6" s="38" t="str">
        <f>'01_Theory Course List'!C6</f>
        <v>BME 205</v>
      </c>
      <c r="D6" s="149" t="str">
        <f>'01_Theory Course List'!D6</f>
        <v>Biofluid Mechanics and Heat Transfer</v>
      </c>
      <c r="E6" s="303"/>
      <c r="F6" s="34" t="str">
        <f>IFERROR(INDEX('01_Theory Course List'!$G$2:$G$479,MATCH(C6,'01_Theory Course List'!$C$2:$C$479,0)),"")</f>
        <v>Mr. Shoyad Ibn Sabur Khan Nuhash</v>
      </c>
      <c r="G6" s="169" t="str">
        <f>IFERROR(INDEX('01_Theory Course List'!$H$2:$H$479,MATCH(C6,'01_Theory Course List'!$C$2:$C$479,0)),"")</f>
        <v>Mr. Md. Abdullah Al Mamun</v>
      </c>
      <c r="H6" s="170"/>
      <c r="I6" s="170"/>
      <c r="J6" s="167"/>
      <c r="K6" s="32" t="s">
        <v>102</v>
      </c>
      <c r="L6" s="296"/>
      <c r="M6" s="220"/>
    </row>
    <row r="7" spans="1:13" ht="17.25" customHeight="1">
      <c r="A7" s="308"/>
      <c r="B7" s="153">
        <f>'01_Theory Course List'!B7</f>
        <v>6</v>
      </c>
      <c r="C7" s="38" t="str">
        <f>'01_Theory Course List'!C7</f>
        <v>BME  207</v>
      </c>
      <c r="D7" s="149" t="str">
        <f>'01_Theory Course List'!D7</f>
        <v>Biomaterials</v>
      </c>
      <c r="E7" s="303"/>
      <c r="F7" s="34" t="str">
        <f>IFERROR(INDEX('01_Theory Course List'!$G$2:$G$479,MATCH(C7,'01_Theory Course List'!$C$2:$C$479,0)),"")</f>
        <v>Ms. Samina Nishat Binte Akram</v>
      </c>
      <c r="G7" s="169" t="str">
        <f>IFERROR(INDEX('01_Theory Course List'!$H$2:$H$479,MATCH(C7,'01_Theory Course List'!$C$2:$C$479,0)),"")</f>
        <v>Dr. M. Tarik Arafat</v>
      </c>
      <c r="H7" s="170"/>
      <c r="I7" s="170"/>
      <c r="J7" s="167"/>
      <c r="K7" s="32" t="s">
        <v>102</v>
      </c>
      <c r="L7" s="296"/>
      <c r="M7" s="220"/>
    </row>
    <row r="8" spans="1:13" ht="17.25" customHeight="1">
      <c r="A8" s="308"/>
      <c r="B8" s="153">
        <f>'01_Theory Course List'!B8</f>
        <v>7</v>
      </c>
      <c r="C8" s="38" t="str">
        <f>'01_Theory Course List'!C8</f>
        <v>BME 309</v>
      </c>
      <c r="D8" s="149" t="str">
        <f>'01_Theory Course List'!D8</f>
        <v>Quantitative Physiology</v>
      </c>
      <c r="E8" s="303"/>
      <c r="F8" s="34" t="str">
        <f>IFERROR(INDEX('01_Theory Course List'!$G$2:$G$479,MATCH(C8,'01_Theory Course List'!$C$2:$C$479,0)),"")</f>
        <v>Mr. Md. Tazuddin Ahmed Akash</v>
      </c>
      <c r="G8" s="169" t="str">
        <f>IFERROR(INDEX('01_Theory Course List'!$H$2:$H$479,MATCH(C8,'01_Theory Course List'!$C$2:$C$479,0)),"")</f>
        <v>Ms. Omi Bonik</v>
      </c>
      <c r="H8" s="170"/>
      <c r="I8" s="170"/>
      <c r="J8" s="167"/>
      <c r="K8" s="32"/>
      <c r="L8" s="296"/>
      <c r="M8" s="220"/>
    </row>
    <row r="9" spans="1:13" ht="17.25" customHeight="1">
      <c r="A9" s="308"/>
      <c r="B9" s="153">
        <f>'01_Theory Course List'!B9</f>
        <v>8</v>
      </c>
      <c r="C9" s="38" t="str">
        <f>'01_Theory Course List'!C9</f>
        <v>BME 303</v>
      </c>
      <c r="D9" s="149" t="str">
        <f>'01_Theory Course List'!D9</f>
        <v>Biomedical Instrumentation and Measurements</v>
      </c>
      <c r="E9" s="303"/>
      <c r="F9" s="34" t="str">
        <f>IFERROR(INDEX('01_Theory Course List'!$G$2:$G$479,MATCH(C9,'01_Theory Course List'!$C$2:$C$479,0)),"")</f>
        <v>Mr. Samiul Based Shuvo</v>
      </c>
      <c r="G9" s="169" t="str">
        <f>IFERROR(INDEX('01_Theory Course List'!$H$2:$H$479,MATCH(C9,'01_Theory Course List'!$C$2:$C$479,0)),"")</f>
        <v>Mr. Sayeed Sajjad Razin</v>
      </c>
      <c r="H9" s="170"/>
      <c r="I9" s="170"/>
      <c r="J9" s="167"/>
      <c r="K9" s="32" t="s">
        <v>102</v>
      </c>
      <c r="L9" s="296"/>
      <c r="M9" s="220"/>
    </row>
    <row r="10" spans="1:13" ht="17.25" customHeight="1">
      <c r="A10" s="308"/>
      <c r="B10" s="153">
        <f>'01_Theory Course List'!B10</f>
        <v>9</v>
      </c>
      <c r="C10" s="38" t="str">
        <f>'01_Theory Course List'!C10</f>
        <v>BME 311</v>
      </c>
      <c r="D10" s="149" t="str">
        <f>'01_Theory Course List'!D10</f>
        <v>Biomedical Signals and Systems</v>
      </c>
      <c r="E10" s="303"/>
      <c r="F10" s="34" t="str">
        <f>IFERROR(INDEX('01_Theory Course List'!$G$2:$G$479,MATCH(C10,'01_Theory Course List'!$C$2:$C$479,0)),"")</f>
        <v>Mr. Shoyad Ibn Sabur Khan Nuhash</v>
      </c>
      <c r="G10" s="169" t="str">
        <f>IFERROR(INDEX('01_Theory Course List'!$H$2:$H$479,MATCH(C10,'01_Theory Course List'!$C$2:$C$479,0)),"")</f>
        <v>Dr. Taufiq Hasan</v>
      </c>
      <c r="H10" s="170"/>
      <c r="I10" s="170"/>
      <c r="J10" s="167"/>
      <c r="K10" s="32" t="s">
        <v>102</v>
      </c>
      <c r="L10" s="296"/>
      <c r="M10" s="220"/>
    </row>
    <row r="11" spans="1:13" ht="17.25" customHeight="1">
      <c r="A11" s="308"/>
      <c r="B11" s="153">
        <f>'01_Theory Course List'!B11</f>
        <v>10</v>
      </c>
      <c r="C11" s="38" t="str">
        <f>'01_Theory Course List'!C11</f>
        <v>BME 403</v>
      </c>
      <c r="D11" s="149" t="str">
        <f>'01_Theory Course List'!D11</f>
        <v>Medical Imaging</v>
      </c>
      <c r="E11" s="303"/>
      <c r="F11" s="34" t="str">
        <f>IFERROR(INDEX('01_Theory Course List'!$G$2:$G$479,MATCH(C11,'01_Theory Course List'!$C$2:$C$479,0)),"")</f>
        <v>Ms. Tasnia Binte Mamun</v>
      </c>
      <c r="G11" s="169" t="str">
        <f>IFERROR(INDEX('01_Theory Course List'!$H$2:$H$479,MATCH(C11,'01_Theory Course List'!$C$2:$C$479,0)),"")</f>
        <v>Mr. Shoyad Ibn Sabur Khan Nuhash</v>
      </c>
      <c r="H11" s="170"/>
      <c r="I11" s="170"/>
      <c r="J11" s="167"/>
      <c r="K11" s="32" t="s">
        <v>102</v>
      </c>
      <c r="L11" s="296"/>
      <c r="M11" s="220"/>
    </row>
    <row r="12" spans="1:13" ht="17.25" customHeight="1">
      <c r="A12" s="308"/>
      <c r="B12" s="153">
        <f>'01_Theory Course List'!B12</f>
        <v>11</v>
      </c>
      <c r="C12" s="38" t="str">
        <f>'01_Theory Course List'!C12</f>
        <v>BME 409 (Elective)</v>
      </c>
      <c r="D12" s="149" t="str">
        <f>'01_Theory Course List'!D12</f>
        <v>Tissue Engineering and Regenerative Medicine</v>
      </c>
      <c r="E12" s="303"/>
      <c r="F12" s="34" t="str">
        <f>IFERROR(INDEX('01_Theory Course List'!$G$2:$G$479,MATCH(C12,'01_Theory Course List'!$C$2:$C$479,0)),"")</f>
        <v>Ms. Srija Sarker Anannya</v>
      </c>
      <c r="G12" s="169" t="str">
        <f>IFERROR(INDEX('01_Theory Course List'!$H$2:$H$479,MATCH(C12,'01_Theory Course List'!$C$2:$C$479,0)),"")</f>
        <v>Ms. Chaity Chakraborty</v>
      </c>
      <c r="H12" s="170"/>
      <c r="I12" s="170"/>
      <c r="J12" s="167"/>
      <c r="K12" s="32" t="s">
        <v>102</v>
      </c>
      <c r="L12" s="296"/>
      <c r="M12" s="220"/>
    </row>
    <row r="13" spans="1:13" ht="17.25" customHeight="1">
      <c r="A13" s="308"/>
      <c r="B13" s="153">
        <f>'01_Theory Course List'!B13</f>
        <v>12</v>
      </c>
      <c r="C13" s="38" t="str">
        <f>'01_Theory Course List'!C13</f>
        <v>BME 449 (Elective)</v>
      </c>
      <c r="D13" s="149" t="str">
        <f>'01_Theory Course List'!D13</f>
        <v>Machine Learning for Biomedical Engineers</v>
      </c>
      <c r="E13" s="303"/>
      <c r="F13" s="34" t="str">
        <f>IFERROR(INDEX('01_Theory Course List'!$G$2:$G$479,MATCH(C13,'01_Theory Course List'!$C$2:$C$479,0)),"")</f>
        <v>Dr. Taufiq Hasan</v>
      </c>
      <c r="G13" s="169" t="str">
        <f>IFERROR(INDEX('01_Theory Course List'!$H$2:$H$479,MATCH(C13,'01_Theory Course List'!$C$2:$C$479,0)),"")</f>
        <v>Mr. Sayeed Sajjad Razin</v>
      </c>
      <c r="H13" s="170"/>
      <c r="I13" s="170"/>
      <c r="J13" s="167"/>
      <c r="K13" s="32" t="s">
        <v>102</v>
      </c>
      <c r="L13" s="296"/>
      <c r="M13" s="220"/>
    </row>
    <row r="14" spans="1:13" ht="17.25" customHeight="1">
      <c r="A14" s="309"/>
      <c r="B14" s="250">
        <f>'01_Theory Course List'!B14</f>
        <v>13</v>
      </c>
      <c r="C14" s="161" t="str">
        <f>'01_Theory Course List'!C14</f>
        <v>BME 441 (Elective)</v>
      </c>
      <c r="D14" s="183" t="str">
        <f>'01_Theory Course List'!D14</f>
        <v>Neural Engineering</v>
      </c>
      <c r="E14" s="304"/>
      <c r="F14" s="160" t="str">
        <f>IFERROR(INDEX('01_Theory Course List'!$G$2:$G$479,MATCH(C14,'01_Theory Course List'!$C$2:$C$479,0)),"")</f>
        <v>Mr. Md. Tazuddin Ahmed Akash</v>
      </c>
      <c r="G14" s="178" t="str">
        <f>IFERROR(INDEX('01_Theory Course List'!$H$2:$H$479,MATCH(C14,'01_Theory Course List'!$C$2:$C$479,0)),"")</f>
        <v>Mr. Samiul Based Shuvo</v>
      </c>
      <c r="H14" s="179"/>
      <c r="I14" s="179"/>
      <c r="J14" s="180"/>
      <c r="K14" s="254" t="s">
        <v>102</v>
      </c>
      <c r="L14" s="296"/>
      <c r="M14" s="222"/>
    </row>
    <row r="15" spans="1:13">
      <c r="A15" s="308" t="s">
        <v>77</v>
      </c>
      <c r="B15" s="311">
        <v>14</v>
      </c>
      <c r="C15" s="301" t="s">
        <v>78</v>
      </c>
      <c r="D15" s="291" t="s">
        <v>79</v>
      </c>
      <c r="E15" s="147" t="s">
        <v>80</v>
      </c>
      <c r="F15" s="184" t="s">
        <v>40</v>
      </c>
      <c r="G15" s="172" t="s">
        <v>41</v>
      </c>
      <c r="H15" s="172" t="s">
        <v>45</v>
      </c>
      <c r="I15" s="174"/>
      <c r="J15" s="185"/>
      <c r="K15" s="298" t="s">
        <v>102</v>
      </c>
      <c r="L15" s="296"/>
      <c r="M15" s="313"/>
    </row>
    <row r="16" spans="1:13">
      <c r="A16" s="308"/>
      <c r="B16" s="306"/>
      <c r="C16" s="294"/>
      <c r="D16" s="292"/>
      <c r="E16" s="146" t="s">
        <v>81</v>
      </c>
      <c r="F16" s="129" t="s">
        <v>40</v>
      </c>
      <c r="G16" s="108" t="s">
        <v>41</v>
      </c>
      <c r="H16" s="108" t="s">
        <v>45</v>
      </c>
      <c r="I16" s="111"/>
      <c r="J16" s="113"/>
      <c r="K16" s="299"/>
      <c r="L16" s="296"/>
      <c r="M16" s="312"/>
    </row>
    <row r="17" spans="1:13">
      <c r="A17" s="308"/>
      <c r="B17" s="305">
        <v>15</v>
      </c>
      <c r="C17" s="294" t="s">
        <v>82</v>
      </c>
      <c r="D17" s="293" t="s">
        <v>83</v>
      </c>
      <c r="E17" s="147" t="s">
        <v>80</v>
      </c>
      <c r="F17" s="184" t="s">
        <v>52</v>
      </c>
      <c r="G17" s="172" t="s">
        <v>55</v>
      </c>
      <c r="H17" s="172" t="s">
        <v>44</v>
      </c>
      <c r="I17" s="172" t="s">
        <v>45</v>
      </c>
      <c r="J17" s="185"/>
      <c r="K17" s="300" t="s">
        <v>102</v>
      </c>
      <c r="L17" s="296"/>
      <c r="M17" s="312"/>
    </row>
    <row r="18" spans="1:13">
      <c r="A18" s="308"/>
      <c r="B18" s="306"/>
      <c r="C18" s="294"/>
      <c r="D18" s="293"/>
      <c r="E18" s="146" t="s">
        <v>81</v>
      </c>
      <c r="F18" s="129" t="s">
        <v>52</v>
      </c>
      <c r="G18" s="108" t="s">
        <v>55</v>
      </c>
      <c r="H18" s="108" t="s">
        <v>44</v>
      </c>
      <c r="I18" s="108" t="s">
        <v>59</v>
      </c>
      <c r="J18" s="113"/>
      <c r="K18" s="300"/>
      <c r="L18" s="296"/>
      <c r="M18" s="312"/>
    </row>
    <row r="19" spans="1:13">
      <c r="A19" s="308"/>
      <c r="B19" s="305">
        <v>16</v>
      </c>
      <c r="C19" s="294" t="s">
        <v>84</v>
      </c>
      <c r="D19" s="293" t="s">
        <v>85</v>
      </c>
      <c r="E19" s="147" t="s">
        <v>80</v>
      </c>
      <c r="F19" s="184" t="s">
        <v>52</v>
      </c>
      <c r="G19" s="172" t="s">
        <v>40</v>
      </c>
      <c r="H19" s="172" t="s">
        <v>59</v>
      </c>
      <c r="I19" s="174"/>
      <c r="J19" s="185"/>
      <c r="K19" s="300" t="s">
        <v>102</v>
      </c>
      <c r="L19" s="296"/>
      <c r="M19" s="312"/>
    </row>
    <row r="20" spans="1:13">
      <c r="A20" s="308"/>
      <c r="B20" s="306"/>
      <c r="C20" s="294"/>
      <c r="D20" s="293"/>
      <c r="E20" s="146" t="s">
        <v>81</v>
      </c>
      <c r="F20" s="129" t="s">
        <v>52</v>
      </c>
      <c r="G20" s="108" t="s">
        <v>40</v>
      </c>
      <c r="H20" s="108" t="s">
        <v>49</v>
      </c>
      <c r="I20" s="111"/>
      <c r="J20" s="113"/>
      <c r="K20" s="300"/>
      <c r="L20" s="296"/>
      <c r="M20" s="312"/>
    </row>
    <row r="21" spans="1:13">
      <c r="A21" s="308"/>
      <c r="B21" s="305">
        <v>17</v>
      </c>
      <c r="C21" s="294" t="s">
        <v>86</v>
      </c>
      <c r="D21" s="293" t="s">
        <v>87</v>
      </c>
      <c r="E21" s="147" t="s">
        <v>80</v>
      </c>
      <c r="F21" s="184" t="s">
        <v>55</v>
      </c>
      <c r="G21" s="172" t="s">
        <v>41</v>
      </c>
      <c r="H21" s="172" t="s">
        <v>45</v>
      </c>
      <c r="I21" s="174"/>
      <c r="J21" s="185"/>
      <c r="K21" s="300" t="s">
        <v>102</v>
      </c>
      <c r="L21" s="296"/>
      <c r="M21" s="312"/>
    </row>
    <row r="22" spans="1:13">
      <c r="A22" s="308"/>
      <c r="B22" s="306"/>
      <c r="C22" s="294"/>
      <c r="D22" s="293"/>
      <c r="E22" s="146" t="s">
        <v>81</v>
      </c>
      <c r="F22" s="129" t="s">
        <v>55</v>
      </c>
      <c r="G22" s="108" t="s">
        <v>41</v>
      </c>
      <c r="H22" s="108" t="s">
        <v>45</v>
      </c>
      <c r="I22" s="111"/>
      <c r="J22" s="113"/>
      <c r="K22" s="300"/>
      <c r="L22" s="296"/>
      <c r="M22" s="312"/>
    </row>
    <row r="23" spans="1:13">
      <c r="A23" s="308"/>
      <c r="B23" s="305">
        <v>18</v>
      </c>
      <c r="C23" s="294" t="s">
        <v>88</v>
      </c>
      <c r="D23" s="293" t="s">
        <v>89</v>
      </c>
      <c r="E23" s="147" t="s">
        <v>80</v>
      </c>
      <c r="F23" s="186" t="s">
        <v>58</v>
      </c>
      <c r="G23" s="171" t="s">
        <v>62</v>
      </c>
      <c r="H23" s="171" t="s">
        <v>49</v>
      </c>
      <c r="I23" s="173"/>
      <c r="J23" s="187"/>
      <c r="K23" s="300" t="s">
        <v>102</v>
      </c>
      <c r="L23" s="296"/>
      <c r="M23" s="312"/>
    </row>
    <row r="24" spans="1:13">
      <c r="A24" s="308"/>
      <c r="B24" s="306"/>
      <c r="C24" s="294"/>
      <c r="D24" s="293"/>
      <c r="E24" s="146" t="s">
        <v>81</v>
      </c>
      <c r="F24" s="129" t="s">
        <v>58</v>
      </c>
      <c r="G24" s="108" t="s">
        <v>62</v>
      </c>
      <c r="H24" s="108" t="s">
        <v>49</v>
      </c>
      <c r="I24" s="111"/>
      <c r="J24" s="113"/>
      <c r="K24" s="300"/>
      <c r="L24" s="296"/>
      <c r="M24" s="312"/>
    </row>
    <row r="25" spans="1:13">
      <c r="A25" s="308"/>
      <c r="B25" s="305">
        <v>19</v>
      </c>
      <c r="C25" s="294" t="s">
        <v>90</v>
      </c>
      <c r="D25" s="292" t="s">
        <v>91</v>
      </c>
      <c r="E25" s="147" t="s">
        <v>80</v>
      </c>
      <c r="F25" s="184" t="s">
        <v>52</v>
      </c>
      <c r="G25" s="172" t="s">
        <v>48</v>
      </c>
      <c r="H25" s="172" t="s">
        <v>40</v>
      </c>
      <c r="I25" s="172" t="s">
        <v>55</v>
      </c>
      <c r="J25" s="188" t="s">
        <v>45</v>
      </c>
      <c r="K25" s="300" t="s">
        <v>102</v>
      </c>
      <c r="L25" s="296"/>
      <c r="M25" s="312"/>
    </row>
    <row r="26" spans="1:13">
      <c r="A26" s="308"/>
      <c r="B26" s="306"/>
      <c r="C26" s="294"/>
      <c r="D26" s="292"/>
      <c r="E26" s="146" t="s">
        <v>81</v>
      </c>
      <c r="F26" s="129" t="s">
        <v>48</v>
      </c>
      <c r="G26" s="108" t="s">
        <v>58</v>
      </c>
      <c r="H26" s="108" t="s">
        <v>40</v>
      </c>
      <c r="I26" s="108" t="s">
        <v>41</v>
      </c>
      <c r="J26" s="110" t="s">
        <v>62</v>
      </c>
      <c r="K26" s="300"/>
      <c r="L26" s="296"/>
      <c r="M26" s="312"/>
    </row>
    <row r="27" spans="1:13">
      <c r="A27" s="308"/>
      <c r="B27" s="305">
        <v>20</v>
      </c>
      <c r="C27" s="294" t="s">
        <v>92</v>
      </c>
      <c r="D27" s="293" t="s">
        <v>93</v>
      </c>
      <c r="E27" s="147" t="s">
        <v>80</v>
      </c>
      <c r="F27" s="184" t="s">
        <v>48</v>
      </c>
      <c r="G27" s="172" t="s">
        <v>62</v>
      </c>
      <c r="H27" s="172" t="s">
        <v>49</v>
      </c>
      <c r="I27" s="174"/>
      <c r="J27" s="185"/>
      <c r="K27" s="300" t="s">
        <v>102</v>
      </c>
      <c r="L27" s="296"/>
      <c r="M27" s="312"/>
    </row>
    <row r="28" spans="1:13">
      <c r="A28" s="308"/>
      <c r="B28" s="306"/>
      <c r="C28" s="294"/>
      <c r="D28" s="293"/>
      <c r="E28" s="146" t="s">
        <v>81</v>
      </c>
      <c r="F28" s="129" t="s">
        <v>48</v>
      </c>
      <c r="G28" s="108" t="s">
        <v>62</v>
      </c>
      <c r="H28" s="108" t="s">
        <v>49</v>
      </c>
      <c r="I28" s="111"/>
      <c r="J28" s="113"/>
      <c r="K28" s="300"/>
      <c r="L28" s="296"/>
      <c r="M28" s="312"/>
    </row>
    <row r="29" spans="1:13">
      <c r="A29" s="308"/>
      <c r="B29" s="305">
        <v>21</v>
      </c>
      <c r="C29" s="294" t="s">
        <v>94</v>
      </c>
      <c r="D29" s="293" t="s">
        <v>95</v>
      </c>
      <c r="E29" s="147" t="s">
        <v>80</v>
      </c>
      <c r="F29" s="184" t="s">
        <v>58</v>
      </c>
      <c r="G29" s="172" t="s">
        <v>62</v>
      </c>
      <c r="H29" s="172" t="s">
        <v>49</v>
      </c>
      <c r="I29" s="174"/>
      <c r="J29" s="185"/>
      <c r="K29" s="300" t="s">
        <v>102</v>
      </c>
      <c r="L29" s="296"/>
      <c r="M29" s="312"/>
    </row>
    <row r="30" spans="1:13">
      <c r="A30" s="308"/>
      <c r="B30" s="306"/>
      <c r="C30" s="294"/>
      <c r="D30" s="293"/>
      <c r="E30" s="146" t="s">
        <v>81</v>
      </c>
      <c r="F30" s="129" t="s">
        <v>44</v>
      </c>
      <c r="G30" s="108" t="s">
        <v>59</v>
      </c>
      <c r="H30" s="108" t="s">
        <v>49</v>
      </c>
      <c r="I30" s="111"/>
      <c r="J30" s="113"/>
      <c r="K30" s="300"/>
      <c r="L30" s="296"/>
      <c r="M30" s="312"/>
    </row>
    <row r="31" spans="1:13">
      <c r="A31" s="308"/>
      <c r="B31" s="305">
        <v>22</v>
      </c>
      <c r="C31" s="290" t="s">
        <v>96</v>
      </c>
      <c r="D31" s="293" t="s">
        <v>97</v>
      </c>
      <c r="E31" s="147" t="s">
        <v>80</v>
      </c>
      <c r="F31" s="184" t="s">
        <v>58</v>
      </c>
      <c r="G31" s="172" t="s">
        <v>44</v>
      </c>
      <c r="H31" s="172" t="s">
        <v>59</v>
      </c>
      <c r="I31" s="174"/>
      <c r="J31" s="185"/>
      <c r="K31" s="300" t="s">
        <v>102</v>
      </c>
      <c r="L31" s="296"/>
      <c r="M31" s="312"/>
    </row>
    <row r="32" spans="1:13">
      <c r="A32" s="308"/>
      <c r="B32" s="306"/>
      <c r="C32" s="290"/>
      <c r="D32" s="293"/>
      <c r="E32" s="146" t="s">
        <v>81</v>
      </c>
      <c r="F32" s="129" t="s">
        <v>58</v>
      </c>
      <c r="G32" s="108" t="s">
        <v>44</v>
      </c>
      <c r="H32" s="108" t="s">
        <v>59</v>
      </c>
      <c r="I32" s="111"/>
      <c r="J32" s="113"/>
      <c r="K32" s="300"/>
      <c r="L32" s="296"/>
      <c r="M32" s="312"/>
    </row>
    <row r="33" spans="1:13">
      <c r="A33" s="310"/>
      <c r="B33" s="165">
        <v>23</v>
      </c>
      <c r="C33" s="163" t="s">
        <v>98</v>
      </c>
      <c r="D33" s="181" t="s">
        <v>99</v>
      </c>
      <c r="E33" s="104" t="s">
        <v>35</v>
      </c>
      <c r="F33" s="130" t="s">
        <v>36</v>
      </c>
      <c r="G33" s="131" t="s">
        <v>65</v>
      </c>
      <c r="H33" s="131" t="s">
        <v>37</v>
      </c>
      <c r="I33" s="132"/>
      <c r="J33" s="114"/>
      <c r="K33" s="255"/>
      <c r="L33" s="297"/>
      <c r="M33" s="221"/>
    </row>
  </sheetData>
  <mergeCells count="49">
    <mergeCell ref="M27:M28"/>
    <mergeCell ref="M29:M30"/>
    <mergeCell ref="M31:M32"/>
    <mergeCell ref="M15:M16"/>
    <mergeCell ref="M17:M18"/>
    <mergeCell ref="M19:M20"/>
    <mergeCell ref="M21:M22"/>
    <mergeCell ref="M23:M24"/>
    <mergeCell ref="M25:M26"/>
    <mergeCell ref="B31:B32"/>
    <mergeCell ref="A2:A14"/>
    <mergeCell ref="A15:A33"/>
    <mergeCell ref="B15:B16"/>
    <mergeCell ref="B17:B18"/>
    <mergeCell ref="B19:B20"/>
    <mergeCell ref="B21:B22"/>
    <mergeCell ref="B23:B24"/>
    <mergeCell ref="B25:B26"/>
    <mergeCell ref="C15:C16"/>
    <mergeCell ref="C17:C18"/>
    <mergeCell ref="E2:E14"/>
    <mergeCell ref="B27:B28"/>
    <mergeCell ref="B29:B30"/>
    <mergeCell ref="L2:L33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C31:C32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C19:C20"/>
    <mergeCell ref="C21:C22"/>
    <mergeCell ref="C23:C24"/>
    <mergeCell ref="C25:C26"/>
    <mergeCell ref="C27:C28"/>
    <mergeCell ref="C29:C30"/>
  </mergeCells>
  <conditionalFormatting sqref="G15:G33 K17 K19 K21 K25 K27 K33 K2:K15 K23 K29 K31">
    <cfRule type="cellIs" dxfId="177" priority="3" operator="equal">
      <formula>"Under Preparation"</formula>
    </cfRule>
    <cfRule type="cellIs" dxfId="176" priority="4" operator="equal">
      <formula>"Prepared"</formula>
    </cfRule>
    <cfRule type="cellIs" dxfId="175" priority="5" operator="equal">
      <formula>"Shared with Students"</formula>
    </cfRule>
  </conditionalFormatting>
  <dataValidations count="2">
    <dataValidation type="list" allowBlank="1" showInputMessage="1" showErrorMessage="1" sqref="K33 K17 K19 K21 K2:K15 K25 K27 K23 K29 K31" xr:uid="{CC4E0F98-9AAF-4665-8C93-BBF26106C3A7}">
      <formula1>CourseOutlineStatus</formula1>
    </dataValidation>
    <dataValidation type="list" allowBlank="1" showInputMessage="1" showErrorMessage="1" sqref="F15:J33 H2:J14" xr:uid="{9198CB24-CF6C-4699-B19A-71028E86A18A}">
      <formula1>Faculty_List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F38E0-E67B-4D98-8222-1D758CF6A8EB}">
  <dimension ref="A1:Q33"/>
  <sheetViews>
    <sheetView showGridLines="0" zoomScaleNormal="100" workbookViewId="0">
      <pane xSplit="2" ySplit="1" topLeftCell="C2" activePane="bottomRight" state="frozen"/>
      <selection pane="bottomRight" activeCell="F12" sqref="F12"/>
      <selection pane="bottomLeft" activeCell="A3" sqref="A3"/>
      <selection pane="topRight" activeCell="C1" sqref="C1"/>
    </sheetView>
  </sheetViews>
  <sheetFormatPr defaultColWidth="0" defaultRowHeight="15" zeroHeight="1"/>
  <cols>
    <col min="1" max="1" width="7.42578125" style="17" bestFit="1" customWidth="1"/>
    <col min="2" max="2" width="15.5703125" bestFit="1" customWidth="1"/>
    <col min="3" max="3" width="38" bestFit="1" customWidth="1"/>
    <col min="4" max="5" width="29.42578125" hidden="1" customWidth="1"/>
    <col min="6" max="6" width="20.28515625" bestFit="1" customWidth="1"/>
    <col min="7" max="7" width="24.7109375" bestFit="1" customWidth="1"/>
    <col min="8" max="8" width="22.7109375" bestFit="1" customWidth="1"/>
    <col min="9" max="9" width="22" customWidth="1"/>
    <col min="10" max="10" width="12" customWidth="1"/>
    <col min="11" max="11" width="22.5703125" customWidth="1"/>
    <col min="12" max="12" width="14.42578125" bestFit="1" customWidth="1"/>
    <col min="13" max="13" width="15.85546875" bestFit="1" customWidth="1"/>
    <col min="14" max="14" width="14.42578125" bestFit="1" customWidth="1"/>
    <col min="15" max="15" width="15.85546875" bestFit="1" customWidth="1"/>
    <col min="16" max="16" width="18" customWidth="1"/>
    <col min="17" max="17" width="8.7109375" customWidth="1"/>
    <col min="18" max="26" width="8.7109375" hidden="1" customWidth="1"/>
    <col min="27" max="16384" width="8.7109375" hidden="1"/>
  </cols>
  <sheetData>
    <row r="1" spans="1:16" ht="42" customHeight="1" thickBot="1">
      <c r="A1" s="19" t="str">
        <f>'01_Theory Course List'!B1</f>
        <v>SL No.</v>
      </c>
      <c r="B1" s="191" t="str">
        <f>'01_Theory Course List'!C1</f>
        <v>Course Code</v>
      </c>
      <c r="C1" s="190" t="str">
        <f>'01_Theory Course List'!D1</f>
        <v>Course Title</v>
      </c>
      <c r="D1" s="48" t="s">
        <v>29</v>
      </c>
      <c r="E1" s="49" t="s">
        <v>30</v>
      </c>
      <c r="F1" s="211" t="s">
        <v>103</v>
      </c>
      <c r="G1" s="156" t="s">
        <v>104</v>
      </c>
      <c r="H1" s="211" t="s">
        <v>105</v>
      </c>
      <c r="I1" s="136" t="s">
        <v>106</v>
      </c>
      <c r="J1" s="211" t="s">
        <v>107</v>
      </c>
      <c r="K1" s="136" t="s">
        <v>108</v>
      </c>
      <c r="L1" s="211" t="s">
        <v>109</v>
      </c>
      <c r="M1" s="136" t="s">
        <v>110</v>
      </c>
      <c r="N1" s="211" t="s">
        <v>111</v>
      </c>
      <c r="O1" s="136" t="s">
        <v>112</v>
      </c>
      <c r="P1" s="262" t="s">
        <v>31</v>
      </c>
    </row>
    <row r="2" spans="1:16">
      <c r="A2" s="20">
        <f>'01_Theory Course List'!B2</f>
        <v>1</v>
      </c>
      <c r="B2" s="140" t="str">
        <f>'01_Theory Course List'!C2</f>
        <v>BME 101</v>
      </c>
      <c r="C2" s="137" t="str">
        <f>'01_Theory Course List'!D2</f>
        <v>Introduction to Biomedical Engineering</v>
      </c>
      <c r="D2" s="22" t="str">
        <f>IFERROR(INDEX('01_Theory Course List'!$G$2:$G$479,MATCH(B2,'01_Theory Course List'!$C$2:$C$479,0)),"")</f>
        <v>Dr. M. Tarik Arafat</v>
      </c>
      <c r="E2" s="21" t="str">
        <f>IFERROR(INDEX('01_Theory Course List'!$H$2:$H$479,MATCH(B2,'01_Theory Course List'!$C$2:$C$479,0)),"")</f>
        <v>Dr. Jahid Ferdous</v>
      </c>
      <c r="F2" s="23"/>
      <c r="G2" s="24" t="s">
        <v>113</v>
      </c>
      <c r="H2" s="25"/>
      <c r="I2" s="26" t="s">
        <v>113</v>
      </c>
      <c r="J2" s="289" t="s">
        <v>114</v>
      </c>
      <c r="K2" s="26" t="s">
        <v>113</v>
      </c>
      <c r="L2" s="25"/>
      <c r="M2" s="26"/>
      <c r="N2" s="25"/>
      <c r="O2" s="26"/>
      <c r="P2" s="219"/>
    </row>
    <row r="3" spans="1:16">
      <c r="A3" s="31">
        <f>'01_Theory Course List'!B3</f>
        <v>2</v>
      </c>
      <c r="B3" s="141" t="str">
        <f>'01_Theory Course List'!C3</f>
        <v>BME 201</v>
      </c>
      <c r="C3" s="138" t="str">
        <f>'01_Theory Course List'!D3</f>
        <v>Biomechanics</v>
      </c>
      <c r="D3" s="34" t="str">
        <f>IFERROR(INDEX('01_Theory Course List'!$G$2:$G$479,MATCH(B3,'01_Theory Course List'!$C$2:$C$479,0)),"")</f>
        <v>Mr. Md. Abdullah Al Mamun</v>
      </c>
      <c r="E3" s="33" t="str">
        <f>IFERROR(INDEX('01_Theory Course List'!$H$2:$H$479,MATCH(B3,'01_Theory Course List'!$C$2:$C$479,0)),"")</f>
        <v>Ms. Srija Sarker Anannya</v>
      </c>
      <c r="F3" s="35"/>
      <c r="G3" s="36"/>
      <c r="H3" s="37"/>
      <c r="I3" s="38"/>
      <c r="J3" s="37"/>
      <c r="K3" s="38"/>
      <c r="L3" s="37"/>
      <c r="M3" s="38"/>
      <c r="N3" s="37"/>
      <c r="O3" s="38"/>
      <c r="P3" s="220"/>
    </row>
    <row r="4" spans="1:16">
      <c r="A4" s="31">
        <f>'01_Theory Course List'!B4</f>
        <v>3</v>
      </c>
      <c r="B4" s="141" t="str">
        <f>'01_Theory Course List'!C4</f>
        <v>BME 203</v>
      </c>
      <c r="C4" s="138" t="str">
        <f>'01_Theory Course List'!D4</f>
        <v>Human Physiology</v>
      </c>
      <c r="D4" s="34" t="str">
        <f>IFERROR(INDEX('01_Theory Course List'!$G$2:$G$479,MATCH(B4,'01_Theory Course List'!$C$2:$C$479,0)),"")</f>
        <v>Ms. Tasnia Binte Mamun</v>
      </c>
      <c r="E4" s="33" t="str">
        <f>IFERROR(INDEX('01_Theory Course List'!$H$2:$H$479,MATCH(B4,'01_Theory Course List'!$C$2:$C$479,0)),"")</f>
        <v>Ms. Chaity Chakraborty</v>
      </c>
      <c r="F4" s="35" t="s">
        <v>115</v>
      </c>
      <c r="G4" s="36" t="s">
        <v>113</v>
      </c>
      <c r="H4" s="37" t="s">
        <v>116</v>
      </c>
      <c r="I4" s="38" t="s">
        <v>113</v>
      </c>
      <c r="J4" s="37"/>
      <c r="K4" s="38"/>
      <c r="L4" s="37"/>
      <c r="M4" s="38"/>
      <c r="N4" s="37"/>
      <c r="O4" s="38"/>
      <c r="P4" s="220"/>
    </row>
    <row r="5" spans="1:16">
      <c r="A5" s="31">
        <f>'01_Theory Course List'!B5</f>
        <v>4</v>
      </c>
      <c r="B5" s="141" t="str">
        <f>'01_Theory Course List'!C5</f>
        <v>BME 211</v>
      </c>
      <c r="C5" s="138" t="str">
        <f>'01_Theory Course List'!D5</f>
        <v>Bioelectricity</v>
      </c>
      <c r="D5" s="34" t="str">
        <f>IFERROR(INDEX('01_Theory Course List'!$G$2:$G$479,MATCH(B5,'01_Theory Course List'!$C$2:$C$479,0)),"")</f>
        <v>Mr. Samiul Based Shuvo</v>
      </c>
      <c r="E5" s="33" t="str">
        <f>IFERROR(INDEX('01_Theory Course List'!$H$2:$H$479,MATCH(B5,'01_Theory Course List'!$C$2:$C$479,0)),"")</f>
        <v>Mr. Sadman Sakib Himel</v>
      </c>
      <c r="F5" s="35"/>
      <c r="G5" s="36" t="s">
        <v>117</v>
      </c>
      <c r="H5" s="37"/>
      <c r="I5" s="38" t="s">
        <v>118</v>
      </c>
      <c r="J5" s="37" t="s">
        <v>119</v>
      </c>
      <c r="K5" s="38" t="s">
        <v>113</v>
      </c>
      <c r="L5" s="37"/>
      <c r="M5" s="38"/>
      <c r="N5" s="37"/>
      <c r="O5" s="38"/>
      <c r="P5" s="220"/>
    </row>
    <row r="6" spans="1:16">
      <c r="A6" s="31">
        <f>'01_Theory Course List'!B6</f>
        <v>5</v>
      </c>
      <c r="B6" s="141" t="str">
        <f>'01_Theory Course List'!C6</f>
        <v>BME 205</v>
      </c>
      <c r="C6" s="138" t="str">
        <f>'01_Theory Course List'!D6</f>
        <v>Biofluid Mechanics and Heat Transfer</v>
      </c>
      <c r="D6" s="34" t="str">
        <f>IFERROR(INDEX('01_Theory Course List'!$G$2:$G$479,MATCH(B6,'01_Theory Course List'!$C$2:$C$479,0)),"")</f>
        <v>Mr. Shoyad Ibn Sabur Khan Nuhash</v>
      </c>
      <c r="E6" s="33" t="str">
        <f>IFERROR(INDEX('01_Theory Course List'!$H$2:$H$479,MATCH(B6,'01_Theory Course List'!$C$2:$C$479,0)),"")</f>
        <v>Mr. Md. Abdullah Al Mamun</v>
      </c>
      <c r="F6" s="37">
        <v>46224</v>
      </c>
      <c r="G6" s="36" t="s">
        <v>113</v>
      </c>
      <c r="H6" s="37">
        <v>46253</v>
      </c>
      <c r="I6" s="38" t="s">
        <v>113</v>
      </c>
      <c r="J6" s="37"/>
      <c r="K6" s="38"/>
      <c r="L6" s="37"/>
      <c r="M6" s="38"/>
      <c r="N6" s="37"/>
      <c r="O6" s="38"/>
      <c r="P6" s="220"/>
    </row>
    <row r="7" spans="1:16">
      <c r="A7" s="31">
        <f>'01_Theory Course List'!B7</f>
        <v>6</v>
      </c>
      <c r="B7" s="141" t="str">
        <f>'01_Theory Course List'!C7</f>
        <v>BME  207</v>
      </c>
      <c r="C7" s="138" t="str">
        <f>'01_Theory Course List'!D7</f>
        <v>Biomaterials</v>
      </c>
      <c r="D7" s="34" t="str">
        <f>IFERROR(INDEX('01_Theory Course List'!$G$2:$G$479,MATCH(B7,'01_Theory Course List'!$C$2:$C$479,0)),"")</f>
        <v>Ms. Samina Nishat Binte Akram</v>
      </c>
      <c r="E7" s="33" t="str">
        <f>IFERROR(INDEX('01_Theory Course List'!$H$2:$H$479,MATCH(B7,'01_Theory Course List'!$C$2:$C$479,0)),"")</f>
        <v>Dr. M. Tarik Arafat</v>
      </c>
      <c r="F7" t="s">
        <v>120</v>
      </c>
      <c r="G7" s="36" t="s">
        <v>113</v>
      </c>
      <c r="H7" s="35">
        <v>46231</v>
      </c>
      <c r="I7" s="38" t="s">
        <v>113</v>
      </c>
      <c r="J7" s="37"/>
      <c r="K7" s="38"/>
      <c r="L7" s="37"/>
      <c r="M7" s="38"/>
      <c r="N7" s="37"/>
      <c r="O7" s="38"/>
      <c r="P7" s="220"/>
    </row>
    <row r="8" spans="1:16">
      <c r="A8" s="31">
        <f>'01_Theory Course List'!B8</f>
        <v>7</v>
      </c>
      <c r="B8" s="141" t="str">
        <f>'01_Theory Course List'!C8</f>
        <v>BME 309</v>
      </c>
      <c r="C8" s="138" t="str">
        <f>'01_Theory Course List'!D8</f>
        <v>Quantitative Physiology</v>
      </c>
      <c r="D8" s="34" t="str">
        <f>IFERROR(INDEX('01_Theory Course List'!$G$2:$G$479,MATCH(B8,'01_Theory Course List'!$C$2:$C$479,0)),"")</f>
        <v>Mr. Md. Tazuddin Ahmed Akash</v>
      </c>
      <c r="E8" s="33" t="str">
        <f>IFERROR(INDEX('01_Theory Course List'!$H$2:$H$479,MATCH(B8,'01_Theory Course List'!$C$2:$C$479,0)),"")</f>
        <v>Ms. Omi Bonik</v>
      </c>
      <c r="F8" s="35"/>
      <c r="G8" s="36"/>
      <c r="H8" s="37"/>
      <c r="I8" s="38"/>
      <c r="J8" s="37"/>
      <c r="K8" s="38"/>
      <c r="L8" s="37"/>
      <c r="M8" s="38"/>
      <c r="N8" s="37"/>
      <c r="O8" s="38"/>
      <c r="P8" s="220"/>
    </row>
    <row r="9" spans="1:16">
      <c r="A9" s="31">
        <f>'01_Theory Course List'!B9</f>
        <v>8</v>
      </c>
      <c r="B9" s="141" t="str">
        <f>'01_Theory Course List'!C9</f>
        <v>BME 303</v>
      </c>
      <c r="C9" s="138" t="str">
        <f>'01_Theory Course List'!D9</f>
        <v>Biomedical Instrumentation and Measurements</v>
      </c>
      <c r="D9" s="34" t="str">
        <f>IFERROR(INDEX('01_Theory Course List'!$G$2:$G$479,MATCH(B9,'01_Theory Course List'!$C$2:$C$479,0)),"")</f>
        <v>Mr. Samiul Based Shuvo</v>
      </c>
      <c r="E9" s="33" t="str">
        <f>IFERROR(INDEX('01_Theory Course List'!$H$2:$H$479,MATCH(B9,'01_Theory Course List'!$C$2:$C$479,0)),"")</f>
        <v>Mr. Sayeed Sajjad Razin</v>
      </c>
      <c r="F9" s="35"/>
      <c r="G9" s="36" t="s">
        <v>117</v>
      </c>
      <c r="H9" s="37"/>
      <c r="I9" s="38" t="s">
        <v>117</v>
      </c>
      <c r="J9" s="37"/>
      <c r="K9" s="38"/>
      <c r="L9" s="37"/>
      <c r="M9" s="38"/>
      <c r="N9" s="37"/>
      <c r="O9" s="38"/>
      <c r="P9" s="220"/>
    </row>
    <row r="10" spans="1:16">
      <c r="A10" s="31">
        <f>'01_Theory Course List'!B10</f>
        <v>9</v>
      </c>
      <c r="B10" s="141" t="str">
        <f>'01_Theory Course List'!C10</f>
        <v>BME 311</v>
      </c>
      <c r="C10" s="138" t="str">
        <f>'01_Theory Course List'!D10</f>
        <v>Biomedical Signals and Systems</v>
      </c>
      <c r="D10" s="34" t="str">
        <f>IFERROR(INDEX('01_Theory Course List'!$G$2:$G$479,MATCH(B10,'01_Theory Course List'!$C$2:$C$479,0)),"")</f>
        <v>Mr. Shoyad Ibn Sabur Khan Nuhash</v>
      </c>
      <c r="E10" s="33" t="str">
        <f>IFERROR(INDEX('01_Theory Course List'!$H$2:$H$479,MATCH(B10,'01_Theory Course List'!$C$2:$C$479,0)),"")</f>
        <v>Dr. Taufiq Hasan</v>
      </c>
      <c r="F10" s="37">
        <v>46218</v>
      </c>
      <c r="G10" s="36" t="s">
        <v>117</v>
      </c>
      <c r="H10" s="37">
        <v>46258</v>
      </c>
      <c r="I10" s="38" t="s">
        <v>117</v>
      </c>
      <c r="J10" s="37"/>
      <c r="K10" s="38"/>
      <c r="L10" s="37"/>
      <c r="M10" s="38"/>
      <c r="N10" s="37"/>
      <c r="O10" s="38"/>
      <c r="P10" s="220"/>
    </row>
    <row r="11" spans="1:16">
      <c r="A11" s="31">
        <f>'01_Theory Course List'!B11</f>
        <v>10</v>
      </c>
      <c r="B11" s="141" t="str">
        <f>'01_Theory Course List'!C11</f>
        <v>BME 403</v>
      </c>
      <c r="C11" s="138" t="str">
        <f>'01_Theory Course List'!D11</f>
        <v>Medical Imaging</v>
      </c>
      <c r="D11" s="34" t="str">
        <f>IFERROR(INDEX('01_Theory Course List'!$G$2:$G$479,MATCH(B11,'01_Theory Course List'!$C$2:$C$479,0)),"")</f>
        <v>Ms. Tasnia Binte Mamun</v>
      </c>
      <c r="E11" s="33" t="str">
        <f>IFERROR(INDEX('01_Theory Course List'!$H$2:$H$479,MATCH(B11,'01_Theory Course List'!$C$2:$C$479,0)),"")</f>
        <v>Mr. Shoyad Ibn Sabur Khan Nuhash</v>
      </c>
      <c r="F11" s="35" t="s">
        <v>121</v>
      </c>
      <c r="G11" s="36" t="s">
        <v>113</v>
      </c>
      <c r="H11" s="37" t="s">
        <v>122</v>
      </c>
      <c r="I11" s="38" t="s">
        <v>113</v>
      </c>
      <c r="J11" s="37"/>
      <c r="K11" s="38"/>
      <c r="L11" s="37"/>
      <c r="M11" s="38"/>
      <c r="N11" s="37"/>
      <c r="O11" s="38"/>
      <c r="P11" s="220"/>
    </row>
    <row r="12" spans="1:16">
      <c r="A12" s="31">
        <f>'01_Theory Course List'!B12</f>
        <v>11</v>
      </c>
      <c r="B12" s="141" t="str">
        <f>'01_Theory Course List'!C12</f>
        <v>BME 409 (Elective)</v>
      </c>
      <c r="C12" s="138" t="str">
        <f>'01_Theory Course List'!D12</f>
        <v>Tissue Engineering and Regenerative Medicine</v>
      </c>
      <c r="D12" s="34" t="str">
        <f>IFERROR(INDEX('01_Theory Course List'!$G$2:$G$479,MATCH(B12,'01_Theory Course List'!$C$2:$C$479,0)),"")</f>
        <v>Ms. Srija Sarker Anannya</v>
      </c>
      <c r="E12" s="33" t="str">
        <f>IFERROR(INDEX('01_Theory Course List'!$H$2:$H$479,MATCH(B12,'01_Theory Course List'!$C$2:$C$479,0)),"")</f>
        <v>Ms. Chaity Chakraborty</v>
      </c>
      <c r="F12" s="35" t="s">
        <v>123</v>
      </c>
      <c r="G12" s="36" t="s">
        <v>113</v>
      </c>
      <c r="H12" s="37" t="s">
        <v>124</v>
      </c>
      <c r="I12" s="38" t="s">
        <v>113</v>
      </c>
      <c r="J12" s="37"/>
      <c r="K12" s="38"/>
      <c r="L12" s="37"/>
      <c r="M12" s="38"/>
      <c r="N12" s="37"/>
      <c r="O12" s="38"/>
      <c r="P12" s="220"/>
    </row>
    <row r="13" spans="1:16">
      <c r="A13" s="31">
        <f>'01_Theory Course List'!B13</f>
        <v>12</v>
      </c>
      <c r="B13" s="141" t="str">
        <f>'01_Theory Course List'!C13</f>
        <v>BME 449 (Elective)</v>
      </c>
      <c r="C13" s="138" t="str">
        <f>'01_Theory Course List'!D13</f>
        <v>Machine Learning for Biomedical Engineers</v>
      </c>
      <c r="D13" s="34" t="str">
        <f>IFERROR(INDEX('01_Theory Course List'!$G$2:$G$479,MATCH(B13,'01_Theory Course List'!$C$2:$C$479,0)),"")</f>
        <v>Dr. Taufiq Hasan</v>
      </c>
      <c r="E13" s="33" t="str">
        <f>IFERROR(INDEX('01_Theory Course List'!$H$2:$H$479,MATCH(B13,'01_Theory Course List'!$C$2:$C$479,0)),"")</f>
        <v>Mr. Sayeed Sajjad Razin</v>
      </c>
      <c r="F13" s="37">
        <v>46218</v>
      </c>
      <c r="G13" s="36" t="s">
        <v>113</v>
      </c>
      <c r="H13" s="37">
        <v>46265</v>
      </c>
      <c r="I13" s="38" t="s">
        <v>118</v>
      </c>
      <c r="J13" s="37"/>
      <c r="K13" s="38"/>
      <c r="L13" s="37"/>
      <c r="M13" s="38"/>
      <c r="N13" s="37"/>
      <c r="O13" s="38"/>
      <c r="P13" s="220"/>
    </row>
    <row r="14" spans="1:16" ht="15.75" thickBot="1">
      <c r="A14" s="39">
        <f>'01_Theory Course List'!B14</f>
        <v>13</v>
      </c>
      <c r="B14" s="142" t="str">
        <f>'01_Theory Course List'!C14</f>
        <v>BME 441 (Elective)</v>
      </c>
      <c r="C14" s="139" t="str">
        <f>'01_Theory Course List'!D14</f>
        <v>Neural Engineering</v>
      </c>
      <c r="D14" s="41" t="str">
        <f>IFERROR(INDEX('01_Theory Course List'!$G$2:$G$479,MATCH(B14,'01_Theory Course List'!$C$2:$C$479,0)),"")</f>
        <v>Mr. Md. Tazuddin Ahmed Akash</v>
      </c>
      <c r="E14" s="40" t="str">
        <f>IFERROR(INDEX('01_Theory Course List'!$H$2:$H$479,MATCH(B14,'01_Theory Course List'!$C$2:$C$479,0)),"")</f>
        <v>Mr. Samiul Based Shuvo</v>
      </c>
      <c r="F14" s="42"/>
      <c r="G14" s="43" t="s">
        <v>117</v>
      </c>
      <c r="H14" s="44"/>
      <c r="I14" s="45" t="s">
        <v>117</v>
      </c>
      <c r="J14" s="44"/>
      <c r="K14" s="45"/>
      <c r="L14" s="44"/>
      <c r="M14" s="45"/>
      <c r="N14" s="44"/>
      <c r="O14" s="45"/>
      <c r="P14" s="221"/>
    </row>
    <row r="15" spans="1:16" hidden="1">
      <c r="P15" s="313"/>
    </row>
    <row r="16" spans="1:16" hidden="1">
      <c r="P16" s="312"/>
    </row>
    <row r="17" spans="16:16" hidden="1">
      <c r="P17" s="312"/>
    </row>
    <row r="18" spans="16:16" hidden="1">
      <c r="P18" s="312"/>
    </row>
    <row r="19" spans="16:16" hidden="1">
      <c r="P19" s="312"/>
    </row>
    <row r="20" spans="16:16" hidden="1">
      <c r="P20" s="312"/>
    </row>
    <row r="21" spans="16:16" hidden="1">
      <c r="P21" s="312"/>
    </row>
    <row r="22" spans="16:16" hidden="1">
      <c r="P22" s="312"/>
    </row>
    <row r="23" spans="16:16" hidden="1">
      <c r="P23" s="312"/>
    </row>
    <row r="24" spans="16:16" hidden="1">
      <c r="P24" s="312"/>
    </row>
    <row r="25" spans="16:16" hidden="1">
      <c r="P25" s="312"/>
    </row>
    <row r="26" spans="16:16" hidden="1">
      <c r="P26" s="312"/>
    </row>
    <row r="27" spans="16:16" hidden="1">
      <c r="P27" s="312"/>
    </row>
    <row r="28" spans="16:16" hidden="1">
      <c r="P28" s="312"/>
    </row>
    <row r="29" spans="16:16" hidden="1">
      <c r="P29" s="312"/>
    </row>
    <row r="30" spans="16:16" hidden="1">
      <c r="P30" s="312"/>
    </row>
    <row r="31" spans="16:16" hidden="1">
      <c r="P31" s="312"/>
    </row>
    <row r="32" spans="16:16" hidden="1">
      <c r="P32" s="312"/>
    </row>
    <row r="33" spans="16:16" ht="15.75" hidden="1" thickBot="1">
      <c r="P33" s="221"/>
    </row>
  </sheetData>
  <mergeCells count="9">
    <mergeCell ref="P15:P16"/>
    <mergeCell ref="P17:P18"/>
    <mergeCell ref="P31:P32"/>
    <mergeCell ref="P19:P20"/>
    <mergeCell ref="P21:P22"/>
    <mergeCell ref="P23:P24"/>
    <mergeCell ref="P25:P26"/>
    <mergeCell ref="P27:P28"/>
    <mergeCell ref="P29:P30"/>
  </mergeCells>
  <conditionalFormatting sqref="G2:G14">
    <cfRule type="cellIs" dxfId="174" priority="6" operator="equal">
      <formula>"CT Scheduled"</formula>
    </cfRule>
    <cfRule type="cellIs" dxfId="173" priority="7" operator="equal">
      <formula>"CT Taken"</formula>
    </cfRule>
    <cfRule type="cellIs" dxfId="172" priority="8" operator="equal">
      <formula>"Scripts Under Examination"</formula>
    </cfRule>
    <cfRule type="cellIs" dxfId="171" priority="9" operator="equal">
      <formula>"Scripts Checked"</formula>
    </cfRule>
    <cfRule type="cellIs" dxfId="170" priority="10" operator="equal">
      <formula>"Marks Published"</formula>
    </cfRule>
  </conditionalFormatting>
  <conditionalFormatting sqref="I2:I14">
    <cfRule type="cellIs" dxfId="169" priority="11" operator="equal">
      <formula>"CT Scheduled"</formula>
    </cfRule>
    <cfRule type="cellIs" dxfId="168" priority="12" operator="equal">
      <formula>"CT Taken"</formula>
    </cfRule>
    <cfRule type="cellIs" dxfId="167" priority="13" operator="equal">
      <formula>"Scripts Under Examination"</formula>
    </cfRule>
    <cfRule type="cellIs" dxfId="166" priority="14" operator="equal">
      <formula>"Scripts Checked"</formula>
    </cfRule>
    <cfRule type="cellIs" dxfId="165" priority="15" operator="equal">
      <formula>"Marks Published"</formula>
    </cfRule>
  </conditionalFormatting>
  <conditionalFormatting sqref="K2:O14">
    <cfRule type="cellIs" dxfId="164" priority="16" operator="equal">
      <formula>"CT Scheduled"</formula>
    </cfRule>
    <cfRule type="cellIs" dxfId="163" priority="17" operator="equal">
      <formula>"CT Taken"</formula>
    </cfRule>
    <cfRule type="cellIs" dxfId="162" priority="18" operator="equal">
      <formula>"Scripts Under Examination"</formula>
    </cfRule>
    <cfRule type="cellIs" dxfId="161" priority="19" operator="equal">
      <formula>"Scripts Checked"</formula>
    </cfRule>
    <cfRule type="cellIs" dxfId="160" priority="20" operator="equal">
      <formula>"Marks Published"</formula>
    </cfRule>
  </conditionalFormatting>
  <dataValidations count="1">
    <dataValidation type="list" allowBlank="1" showInputMessage="1" showErrorMessage="1" sqref="O2:O14 G2:G14 K2:K14 M2:M14 I2:I14" xr:uid="{6AEBF6EB-BA61-45DE-BE04-06CCC278845A}">
      <formula1>CTStatus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6545-7692-42B8-A223-7FB3AD729310}">
  <dimension ref="A1:CE40"/>
  <sheetViews>
    <sheetView showGridLines="0" zoomScaleNormal="100" workbookViewId="0">
      <pane xSplit="3" ySplit="1" topLeftCell="G2" activePane="bottomRight" state="frozen"/>
      <selection pane="bottomRight" activeCell="L18" sqref="L18:L19"/>
      <selection pane="bottomLeft" activeCell="A2" sqref="A2"/>
      <selection pane="topRight" activeCell="D1" sqref="D1"/>
    </sheetView>
  </sheetViews>
  <sheetFormatPr defaultColWidth="0" defaultRowHeight="15" zeroHeight="1"/>
  <cols>
    <col min="1" max="1" width="13.28515625" customWidth="1"/>
    <col min="2" max="2" width="7.42578125" style="4" customWidth="1"/>
    <col min="3" max="3" width="11.140625" style="2" customWidth="1"/>
    <col min="4" max="4" width="39.28515625" hidden="1" customWidth="1"/>
    <col min="5" max="5" width="8.7109375" style="2" hidden="1" customWidth="1"/>
    <col min="6" max="6" width="7.7109375" hidden="1" customWidth="1"/>
    <col min="7" max="7" width="27" bestFit="1" customWidth="1"/>
    <col min="8" max="8" width="19.7109375" style="150" customWidth="1"/>
    <col min="9" max="9" width="13.5703125" style="268" customWidth="1"/>
    <col min="10" max="10" width="27" customWidth="1"/>
    <col min="11" max="11" width="10.28515625" bestFit="1" customWidth="1"/>
    <col min="12" max="12" width="17.85546875" style="18" customWidth="1"/>
    <col min="13" max="13" width="25.5703125" customWidth="1"/>
    <col min="14" max="14" width="19.28515625" customWidth="1"/>
    <col min="15" max="15" width="11.5703125" style="18" customWidth="1"/>
    <col min="16" max="16" width="13" customWidth="1"/>
    <col min="17" max="17" width="10.85546875" customWidth="1"/>
    <col min="18" max="18" width="11.7109375" style="18" customWidth="1"/>
    <col min="19" max="20" width="10.28515625" bestFit="1" customWidth="1"/>
    <col min="21" max="21" width="10.28515625" style="18" bestFit="1" customWidth="1"/>
    <col min="22" max="23" width="10.140625" customWidth="1"/>
    <col min="24" max="24" width="10.85546875" style="18" customWidth="1"/>
    <col min="25" max="26" width="10.28515625" bestFit="1" customWidth="1"/>
    <col min="27" max="27" width="10.28515625" style="18" bestFit="1" customWidth="1"/>
    <col min="28" max="29" width="10.28515625" bestFit="1" customWidth="1"/>
    <col min="30" max="30" width="11.42578125" style="18" customWidth="1"/>
    <col min="31" max="32" width="10.28515625" bestFit="1" customWidth="1"/>
    <col min="33" max="33" width="10.28515625" style="18" bestFit="1" customWidth="1"/>
    <col min="34" max="35" width="10.28515625" bestFit="1" customWidth="1"/>
    <col min="36" max="36" width="10.28515625" style="18" customWidth="1"/>
    <col min="37" max="37" width="10.28515625" bestFit="1" customWidth="1"/>
    <col min="38" max="38" width="9.140625" bestFit="1" customWidth="1"/>
    <col min="39" max="39" width="11.140625" style="18" customWidth="1"/>
    <col min="40" max="41" width="10.28515625" bestFit="1" customWidth="1"/>
    <col min="42" max="42" width="10.28515625" style="18" bestFit="1" customWidth="1"/>
    <col min="43" max="43" width="10.28515625" bestFit="1" customWidth="1"/>
    <col min="44" max="44" width="10.7109375" customWidth="1"/>
    <col min="45" max="45" width="10.28515625" style="18" bestFit="1" customWidth="1"/>
    <col min="46" max="46" width="10.28515625" bestFit="1" customWidth="1"/>
    <col min="47" max="47" width="10.28515625" customWidth="1"/>
    <col min="48" max="48" width="10.28515625" style="18" bestFit="1" customWidth="1"/>
    <col min="49" max="49" width="10.28515625" bestFit="1" customWidth="1"/>
    <col min="50" max="50" width="10.28515625" customWidth="1"/>
    <col min="51" max="51" width="10.28515625" style="18" bestFit="1" customWidth="1"/>
    <col min="52" max="52" width="10.85546875" customWidth="1"/>
    <col min="53" max="53" width="10.28515625" customWidth="1"/>
    <col min="54" max="54" width="10.42578125" style="18" customWidth="1"/>
    <col min="55" max="55" width="10.28515625" bestFit="1" customWidth="1"/>
    <col min="56" max="56" width="10.28515625" customWidth="1"/>
    <col min="57" max="57" width="10.140625" style="18" customWidth="1"/>
    <col min="58" max="59" width="10.28515625" bestFit="1" customWidth="1"/>
    <col min="60" max="60" width="10.28515625" style="18" bestFit="1" customWidth="1"/>
    <col min="61" max="62" width="10.28515625" bestFit="1" customWidth="1"/>
    <col min="63" max="63" width="10.28515625" style="18" bestFit="1" customWidth="1"/>
    <col min="64" max="65" width="10.28515625" bestFit="1" customWidth="1"/>
    <col min="66" max="66" width="10.28515625" style="18" bestFit="1" customWidth="1"/>
    <col min="67" max="68" width="10.28515625" bestFit="1" customWidth="1"/>
    <col min="69" max="69" width="10.28515625" style="18" bestFit="1" customWidth="1"/>
    <col min="70" max="71" width="10.28515625" bestFit="1" customWidth="1"/>
    <col min="72" max="72" width="10.28515625" style="18" bestFit="1" customWidth="1"/>
    <col min="73" max="74" width="10.28515625" bestFit="1" customWidth="1"/>
    <col min="75" max="75" width="10.28515625" style="18" bestFit="1" customWidth="1"/>
    <col min="76" max="76" width="10.7109375" customWidth="1"/>
    <col min="77" max="77" width="10.28515625" bestFit="1" customWidth="1"/>
    <col min="78" max="78" width="10.28515625" style="18" bestFit="1" customWidth="1"/>
    <col min="79" max="80" width="10.28515625" bestFit="1" customWidth="1"/>
    <col min="81" max="81" width="10.28515625" style="18" bestFit="1" customWidth="1"/>
    <col min="82" max="82" width="17.7109375" customWidth="1"/>
    <col min="83" max="83" width="8.7109375" customWidth="1"/>
    <col min="84" max="16384" width="8.7109375" hidden="1"/>
  </cols>
  <sheetData>
    <row r="1" spans="1:82" ht="31.5" customHeight="1">
      <c r="A1" s="229" t="str">
        <f>'02_Sessional Course List'!A1</f>
        <v>Type of Course</v>
      </c>
      <c r="B1" s="19" t="str">
        <f>'02_Sessional Course List'!B1</f>
        <v>SL No.</v>
      </c>
      <c r="C1" s="223" t="str">
        <f>'02_Sessional Course List'!C1</f>
        <v>Course Code</v>
      </c>
      <c r="D1" s="256" t="str">
        <f>'02_Sessional Course List'!D1</f>
        <v>Course Title</v>
      </c>
      <c r="E1" s="256" t="str">
        <f>'02_Sessional Course List'!E1</f>
        <v>Contact Hours</v>
      </c>
      <c r="F1" s="257" t="str">
        <f>'02_Sessional Course List'!F1</f>
        <v>Section</v>
      </c>
      <c r="G1" s="211" t="s">
        <v>125</v>
      </c>
      <c r="H1" s="261" t="s">
        <v>126</v>
      </c>
      <c r="I1" s="156" t="s">
        <v>127</v>
      </c>
      <c r="J1" s="211" t="s">
        <v>125</v>
      </c>
      <c r="K1" s="261" t="s">
        <v>126</v>
      </c>
      <c r="L1" s="156" t="s">
        <v>127</v>
      </c>
      <c r="M1" s="211" t="s">
        <v>125</v>
      </c>
      <c r="N1" s="261" t="s">
        <v>126</v>
      </c>
      <c r="O1" s="156" t="s">
        <v>127</v>
      </c>
      <c r="P1" s="211" t="s">
        <v>125</v>
      </c>
      <c r="Q1" s="261" t="s">
        <v>126</v>
      </c>
      <c r="R1" s="156" t="s">
        <v>127</v>
      </c>
      <c r="S1" s="211" t="s">
        <v>125</v>
      </c>
      <c r="T1" s="261" t="s">
        <v>126</v>
      </c>
      <c r="U1" s="156" t="s">
        <v>127</v>
      </c>
      <c r="V1" s="211" t="s">
        <v>125</v>
      </c>
      <c r="W1" s="261" t="s">
        <v>126</v>
      </c>
      <c r="X1" s="156" t="s">
        <v>127</v>
      </c>
      <c r="Y1" s="211" t="s">
        <v>125</v>
      </c>
      <c r="Z1" s="261" t="s">
        <v>126</v>
      </c>
      <c r="AA1" s="156" t="s">
        <v>127</v>
      </c>
      <c r="AB1" s="211" t="s">
        <v>125</v>
      </c>
      <c r="AC1" s="261" t="s">
        <v>126</v>
      </c>
      <c r="AD1" s="156" t="s">
        <v>127</v>
      </c>
      <c r="AE1" s="211" t="s">
        <v>125</v>
      </c>
      <c r="AF1" s="261" t="s">
        <v>126</v>
      </c>
      <c r="AG1" s="156" t="s">
        <v>127</v>
      </c>
      <c r="AH1" s="211" t="s">
        <v>125</v>
      </c>
      <c r="AI1" s="261" t="s">
        <v>126</v>
      </c>
      <c r="AJ1" s="156" t="s">
        <v>127</v>
      </c>
      <c r="AK1" s="211" t="s">
        <v>125</v>
      </c>
      <c r="AL1" s="261" t="s">
        <v>126</v>
      </c>
      <c r="AM1" s="156" t="s">
        <v>127</v>
      </c>
      <c r="AN1" s="211" t="s">
        <v>125</v>
      </c>
      <c r="AO1" s="261" t="s">
        <v>126</v>
      </c>
      <c r="AP1" s="156" t="s">
        <v>127</v>
      </c>
      <c r="AQ1" s="211" t="s">
        <v>125</v>
      </c>
      <c r="AR1" s="261" t="s">
        <v>126</v>
      </c>
      <c r="AS1" s="156" t="s">
        <v>127</v>
      </c>
      <c r="AT1" s="211" t="s">
        <v>125</v>
      </c>
      <c r="AU1" s="261" t="s">
        <v>126</v>
      </c>
      <c r="AV1" s="156" t="s">
        <v>127</v>
      </c>
      <c r="AW1" s="211" t="s">
        <v>125</v>
      </c>
      <c r="AX1" s="261" t="s">
        <v>126</v>
      </c>
      <c r="AY1" s="156" t="s">
        <v>127</v>
      </c>
      <c r="AZ1" s="211" t="s">
        <v>125</v>
      </c>
      <c r="BA1" s="261" t="s">
        <v>126</v>
      </c>
      <c r="BB1" s="156" t="s">
        <v>127</v>
      </c>
      <c r="BC1" s="211" t="s">
        <v>125</v>
      </c>
      <c r="BD1" s="261" t="s">
        <v>126</v>
      </c>
      <c r="BE1" s="156" t="s">
        <v>127</v>
      </c>
      <c r="BF1" s="211" t="s">
        <v>125</v>
      </c>
      <c r="BG1" s="261" t="s">
        <v>126</v>
      </c>
      <c r="BH1" s="156" t="s">
        <v>127</v>
      </c>
      <c r="BI1" s="211" t="s">
        <v>125</v>
      </c>
      <c r="BJ1" s="261" t="s">
        <v>126</v>
      </c>
      <c r="BK1" s="156" t="s">
        <v>127</v>
      </c>
      <c r="BL1" s="211" t="s">
        <v>125</v>
      </c>
      <c r="BM1" s="261" t="s">
        <v>126</v>
      </c>
      <c r="BN1" s="156" t="s">
        <v>127</v>
      </c>
      <c r="BO1" s="211" t="s">
        <v>125</v>
      </c>
      <c r="BP1" s="261" t="s">
        <v>126</v>
      </c>
      <c r="BQ1" s="156" t="s">
        <v>127</v>
      </c>
      <c r="BR1" s="211" t="s">
        <v>125</v>
      </c>
      <c r="BS1" s="261" t="s">
        <v>126</v>
      </c>
      <c r="BT1" s="156" t="s">
        <v>127</v>
      </c>
      <c r="BU1" s="211" t="s">
        <v>125</v>
      </c>
      <c r="BV1" s="261" t="s">
        <v>126</v>
      </c>
      <c r="BW1" s="156" t="s">
        <v>127</v>
      </c>
      <c r="BX1" s="211" t="s">
        <v>125</v>
      </c>
      <c r="BY1" s="261" t="s">
        <v>126</v>
      </c>
      <c r="BZ1" s="156" t="s">
        <v>127</v>
      </c>
      <c r="CA1" s="211" t="s">
        <v>125</v>
      </c>
      <c r="CB1" s="261" t="s">
        <v>126</v>
      </c>
      <c r="CC1" s="156" t="s">
        <v>127</v>
      </c>
      <c r="CD1" s="263" t="s">
        <v>31</v>
      </c>
    </row>
    <row r="2" spans="1:82" ht="15" customHeight="1">
      <c r="A2" s="344" t="str">
        <f>'02_Sessional Course List'!A2</f>
        <v>Sessional</v>
      </c>
      <c r="B2" s="347">
        <f>'02_Sessional Course List'!B2</f>
        <v>1</v>
      </c>
      <c r="C2" s="349" t="str">
        <f>'02_Sessional Course List'!C2</f>
        <v>BME 202</v>
      </c>
      <c r="D2" s="321" t="str">
        <f>'02_Sessional Course List'!D2</f>
        <v>Biomechanics Sessional</v>
      </c>
      <c r="E2" s="333">
        <f>'02_Sessional Course List'!E2</f>
        <v>1.5</v>
      </c>
      <c r="F2" s="121" t="str">
        <f>'02_Sessional Course List'!F2</f>
        <v>A1</v>
      </c>
      <c r="G2" s="355"/>
      <c r="H2" s="362"/>
      <c r="I2" s="359"/>
      <c r="J2" s="355"/>
      <c r="K2" s="367"/>
      <c r="L2" s="368"/>
      <c r="M2" s="355"/>
      <c r="N2" s="367"/>
      <c r="O2" s="368"/>
      <c r="P2" s="355"/>
      <c r="Q2" s="367"/>
      <c r="R2" s="368"/>
      <c r="S2" s="355"/>
      <c r="T2" s="367"/>
      <c r="U2" s="368"/>
      <c r="V2" s="355"/>
      <c r="W2" s="367"/>
      <c r="X2" s="368"/>
      <c r="Y2" s="355"/>
      <c r="Z2" s="367"/>
      <c r="AA2" s="368"/>
      <c r="AB2" s="355"/>
      <c r="AC2" s="367"/>
      <c r="AD2" s="368"/>
      <c r="AE2" s="355"/>
      <c r="AF2" s="367"/>
      <c r="AG2" s="368"/>
      <c r="AH2" s="355"/>
      <c r="AI2" s="367"/>
      <c r="AJ2" s="368"/>
      <c r="AK2" s="355"/>
      <c r="AL2" s="367"/>
      <c r="AM2" s="368"/>
      <c r="AN2" s="355"/>
      <c r="AO2" s="367"/>
      <c r="AP2" s="368"/>
      <c r="AQ2" s="355"/>
      <c r="AR2" s="367"/>
      <c r="AS2" s="368"/>
      <c r="AT2" s="355"/>
      <c r="AU2" s="367"/>
      <c r="AV2" s="368"/>
      <c r="AW2" s="355"/>
      <c r="AX2" s="367"/>
      <c r="AY2" s="368"/>
      <c r="AZ2" s="355"/>
      <c r="BA2" s="367"/>
      <c r="BB2" s="368"/>
      <c r="BC2" s="355"/>
      <c r="BD2" s="367"/>
      <c r="BE2" s="368"/>
      <c r="BF2" s="355"/>
      <c r="BG2" s="367"/>
      <c r="BH2" s="368"/>
      <c r="BI2" s="355"/>
      <c r="BJ2" s="367"/>
      <c r="BK2" s="368"/>
      <c r="BL2" s="355"/>
      <c r="BM2" s="367"/>
      <c r="BN2" s="368"/>
      <c r="BO2" s="355"/>
      <c r="BP2" s="367"/>
      <c r="BQ2" s="368"/>
      <c r="BR2" s="355"/>
      <c r="BS2" s="367"/>
      <c r="BT2" s="368"/>
      <c r="BU2" s="355"/>
      <c r="BV2" s="367"/>
      <c r="BW2" s="368"/>
      <c r="BX2" s="355"/>
      <c r="BY2" s="367"/>
      <c r="BZ2" s="368"/>
      <c r="CA2" s="355"/>
      <c r="CB2" s="367"/>
      <c r="CC2" s="368"/>
      <c r="CD2" s="115"/>
    </row>
    <row r="3" spans="1:82">
      <c r="A3" s="345"/>
      <c r="B3" s="348"/>
      <c r="C3" s="350"/>
      <c r="D3" s="322"/>
      <c r="E3" s="334"/>
      <c r="F3" s="122" t="str">
        <f>'02_Sessional Course List'!F3</f>
        <v>A2</v>
      </c>
      <c r="G3" s="356"/>
      <c r="H3" s="361"/>
      <c r="I3" s="360"/>
      <c r="J3" s="356"/>
      <c r="K3" s="365"/>
      <c r="L3" s="366"/>
      <c r="M3" s="356"/>
      <c r="N3" s="365"/>
      <c r="O3" s="366"/>
      <c r="P3" s="356"/>
      <c r="Q3" s="365"/>
      <c r="R3" s="366"/>
      <c r="S3" s="356"/>
      <c r="T3" s="365"/>
      <c r="U3" s="366"/>
      <c r="V3" s="356"/>
      <c r="W3" s="365"/>
      <c r="X3" s="366"/>
      <c r="Y3" s="356"/>
      <c r="Z3" s="365"/>
      <c r="AA3" s="366"/>
      <c r="AB3" s="356"/>
      <c r="AC3" s="365"/>
      <c r="AD3" s="366"/>
      <c r="AE3" s="356"/>
      <c r="AF3" s="365"/>
      <c r="AG3" s="366"/>
      <c r="AH3" s="356"/>
      <c r="AI3" s="365"/>
      <c r="AJ3" s="366"/>
      <c r="AK3" s="356"/>
      <c r="AL3" s="365"/>
      <c r="AM3" s="366"/>
      <c r="AN3" s="356"/>
      <c r="AO3" s="365"/>
      <c r="AP3" s="366"/>
      <c r="AQ3" s="356"/>
      <c r="AR3" s="365"/>
      <c r="AS3" s="366"/>
      <c r="AT3" s="356"/>
      <c r="AU3" s="365"/>
      <c r="AV3" s="366"/>
      <c r="AW3" s="356"/>
      <c r="AX3" s="365"/>
      <c r="AY3" s="366"/>
      <c r="AZ3" s="356"/>
      <c r="BA3" s="365"/>
      <c r="BB3" s="366"/>
      <c r="BC3" s="356"/>
      <c r="BD3" s="365"/>
      <c r="BE3" s="366"/>
      <c r="BF3" s="356"/>
      <c r="BG3" s="365"/>
      <c r="BH3" s="366"/>
      <c r="BI3" s="356"/>
      <c r="BJ3" s="365"/>
      <c r="BK3" s="366"/>
      <c r="BL3" s="356"/>
      <c r="BM3" s="365"/>
      <c r="BN3" s="366"/>
      <c r="BO3" s="356"/>
      <c r="BP3" s="365"/>
      <c r="BQ3" s="366"/>
      <c r="BR3" s="356"/>
      <c r="BS3" s="365"/>
      <c r="BT3" s="366"/>
      <c r="BU3" s="356"/>
      <c r="BV3" s="365"/>
      <c r="BW3" s="366"/>
      <c r="BX3" s="356"/>
      <c r="BY3" s="365"/>
      <c r="BZ3" s="366"/>
      <c r="CA3" s="356"/>
      <c r="CB3" s="365"/>
      <c r="CC3" s="366"/>
      <c r="CD3" s="116"/>
    </row>
    <row r="4" spans="1:82">
      <c r="A4" s="345"/>
      <c r="B4" s="348">
        <f>'02_Sessional Course List'!B4</f>
        <v>2</v>
      </c>
      <c r="C4" s="350" t="str">
        <f>'02_Sessional Course List'!C4</f>
        <v>BME 204</v>
      </c>
      <c r="D4" s="351" t="str">
        <f>'02_Sessional Course List'!D4</f>
        <v>Human Physiology Sessional</v>
      </c>
      <c r="E4" s="352">
        <f>'02_Sessional Course List'!E4</f>
        <v>3</v>
      </c>
      <c r="F4" s="123" t="str">
        <f>'02_Sessional Course List'!F4</f>
        <v>A1</v>
      </c>
      <c r="G4" s="356" t="s">
        <v>128</v>
      </c>
      <c r="H4" s="361"/>
      <c r="I4" s="360" t="s">
        <v>129</v>
      </c>
      <c r="J4" s="356"/>
      <c r="K4" s="365"/>
      <c r="L4" s="366"/>
      <c r="M4" s="356"/>
      <c r="N4" s="365"/>
      <c r="O4" s="366"/>
      <c r="P4" s="356"/>
      <c r="Q4" s="365"/>
      <c r="R4" s="366"/>
      <c r="S4" s="356"/>
      <c r="T4" s="365"/>
      <c r="U4" s="366"/>
      <c r="V4" s="356"/>
      <c r="W4" s="365"/>
      <c r="X4" s="366"/>
      <c r="Y4" s="356"/>
      <c r="Z4" s="365"/>
      <c r="AA4" s="366"/>
      <c r="AB4" s="356"/>
      <c r="AC4" s="365"/>
      <c r="AD4" s="366"/>
      <c r="AE4" s="356"/>
      <c r="AF4" s="365"/>
      <c r="AG4" s="366"/>
      <c r="AH4" s="356"/>
      <c r="AI4" s="365"/>
      <c r="AJ4" s="366"/>
      <c r="AK4" s="356"/>
      <c r="AL4" s="365"/>
      <c r="AM4" s="366"/>
      <c r="AN4" s="356"/>
      <c r="AO4" s="365"/>
      <c r="AP4" s="366"/>
      <c r="AQ4" s="356"/>
      <c r="AR4" s="365"/>
      <c r="AS4" s="366"/>
      <c r="AT4" s="356"/>
      <c r="AU4" s="365"/>
      <c r="AV4" s="366"/>
      <c r="AW4" s="356"/>
      <c r="AX4" s="365"/>
      <c r="AY4" s="366"/>
      <c r="AZ4" s="356"/>
      <c r="BA4" s="365"/>
      <c r="BB4" s="366"/>
      <c r="BC4" s="356"/>
      <c r="BD4" s="365"/>
      <c r="BE4" s="366"/>
      <c r="BF4" s="356"/>
      <c r="BG4" s="365"/>
      <c r="BH4" s="366"/>
      <c r="BI4" s="356"/>
      <c r="BJ4" s="365"/>
      <c r="BK4" s="366"/>
      <c r="BL4" s="356"/>
      <c r="BM4" s="365"/>
      <c r="BN4" s="366"/>
      <c r="BO4" s="356"/>
      <c r="BP4" s="365"/>
      <c r="BQ4" s="366"/>
      <c r="BR4" s="356"/>
      <c r="BS4" s="365"/>
      <c r="BT4" s="366"/>
      <c r="BU4" s="356"/>
      <c r="BV4" s="365"/>
      <c r="BW4" s="366"/>
      <c r="BX4" s="356"/>
      <c r="BY4" s="365"/>
      <c r="BZ4" s="366"/>
      <c r="CA4" s="356"/>
      <c r="CB4" s="365"/>
      <c r="CC4" s="366"/>
      <c r="CD4" s="117"/>
    </row>
    <row r="5" spans="1:82">
      <c r="A5" s="345"/>
      <c r="B5" s="348"/>
      <c r="C5" s="350"/>
      <c r="D5" s="324"/>
      <c r="E5" s="334"/>
      <c r="F5" s="122" t="str">
        <f>'02_Sessional Course List'!F5</f>
        <v>A2</v>
      </c>
      <c r="G5" s="356"/>
      <c r="H5" s="361"/>
      <c r="I5" s="360"/>
      <c r="J5" s="356"/>
      <c r="K5" s="365"/>
      <c r="L5" s="366"/>
      <c r="M5" s="356"/>
      <c r="N5" s="365"/>
      <c r="O5" s="366"/>
      <c r="P5" s="356"/>
      <c r="Q5" s="365"/>
      <c r="R5" s="366"/>
      <c r="S5" s="356"/>
      <c r="T5" s="365"/>
      <c r="U5" s="366"/>
      <c r="V5" s="356"/>
      <c r="W5" s="365"/>
      <c r="X5" s="366"/>
      <c r="Y5" s="356"/>
      <c r="Z5" s="365"/>
      <c r="AA5" s="366"/>
      <c r="AB5" s="356"/>
      <c r="AC5" s="365"/>
      <c r="AD5" s="366"/>
      <c r="AE5" s="356"/>
      <c r="AF5" s="365"/>
      <c r="AG5" s="366"/>
      <c r="AH5" s="356"/>
      <c r="AI5" s="365"/>
      <c r="AJ5" s="366"/>
      <c r="AK5" s="356"/>
      <c r="AL5" s="365"/>
      <c r="AM5" s="366"/>
      <c r="AN5" s="356"/>
      <c r="AO5" s="365"/>
      <c r="AP5" s="366"/>
      <c r="AQ5" s="356"/>
      <c r="AR5" s="365"/>
      <c r="AS5" s="366"/>
      <c r="AT5" s="356"/>
      <c r="AU5" s="365"/>
      <c r="AV5" s="366"/>
      <c r="AW5" s="356"/>
      <c r="AX5" s="365"/>
      <c r="AY5" s="366"/>
      <c r="AZ5" s="356"/>
      <c r="BA5" s="365"/>
      <c r="BB5" s="366"/>
      <c r="BC5" s="356"/>
      <c r="BD5" s="365"/>
      <c r="BE5" s="366"/>
      <c r="BF5" s="356"/>
      <c r="BG5" s="365"/>
      <c r="BH5" s="366"/>
      <c r="BI5" s="356"/>
      <c r="BJ5" s="365"/>
      <c r="BK5" s="366"/>
      <c r="BL5" s="356"/>
      <c r="BM5" s="365"/>
      <c r="BN5" s="366"/>
      <c r="BO5" s="356"/>
      <c r="BP5" s="365"/>
      <c r="BQ5" s="366"/>
      <c r="BR5" s="356"/>
      <c r="BS5" s="365"/>
      <c r="BT5" s="366"/>
      <c r="BU5" s="356"/>
      <c r="BV5" s="365"/>
      <c r="BW5" s="366"/>
      <c r="BX5" s="356"/>
      <c r="BY5" s="365"/>
      <c r="BZ5" s="366"/>
      <c r="CA5" s="356"/>
      <c r="CB5" s="365"/>
      <c r="CC5" s="366"/>
      <c r="CD5" s="118"/>
    </row>
    <row r="6" spans="1:82" ht="15" customHeight="1">
      <c r="A6" s="345"/>
      <c r="B6" s="348">
        <f>'02_Sessional Course List'!B6</f>
        <v>3</v>
      </c>
      <c r="C6" s="350" t="str">
        <f>'02_Sessional Course List'!C6</f>
        <v>BME 206</v>
      </c>
      <c r="D6" s="351" t="str">
        <f>'02_Sessional Course List'!D6</f>
        <v>Biofluid Mechanics and Heat Transfer Sessional</v>
      </c>
      <c r="E6" s="352">
        <f>'02_Sessional Course List'!E6</f>
        <v>3</v>
      </c>
      <c r="F6" s="123" t="str">
        <f>'02_Sessional Course List'!F6</f>
        <v>A1</v>
      </c>
      <c r="G6" s="356" t="s">
        <v>130</v>
      </c>
      <c r="H6" s="361">
        <v>46228</v>
      </c>
      <c r="I6" s="360" t="s">
        <v>131</v>
      </c>
      <c r="J6" s="356"/>
      <c r="K6" s="365"/>
      <c r="L6" s="366"/>
      <c r="M6" s="356"/>
      <c r="N6" s="365"/>
      <c r="O6" s="366"/>
      <c r="P6" s="356"/>
      <c r="Q6" s="365"/>
      <c r="R6" s="366"/>
      <c r="S6" s="356"/>
      <c r="T6" s="365"/>
      <c r="U6" s="366"/>
      <c r="V6" s="356"/>
      <c r="W6" s="365"/>
      <c r="X6" s="366"/>
      <c r="Y6" s="356"/>
      <c r="Z6" s="365"/>
      <c r="AA6" s="366"/>
      <c r="AB6" s="356"/>
      <c r="AC6" s="365"/>
      <c r="AD6" s="366"/>
      <c r="AE6" s="356"/>
      <c r="AF6" s="365"/>
      <c r="AG6" s="366"/>
      <c r="AH6" s="356"/>
      <c r="AI6" s="365"/>
      <c r="AJ6" s="366"/>
      <c r="AK6" s="356"/>
      <c r="AL6" s="365"/>
      <c r="AM6" s="366"/>
      <c r="AN6" s="356"/>
      <c r="AO6" s="365"/>
      <c r="AP6" s="366"/>
      <c r="AQ6" s="356"/>
      <c r="AR6" s="365"/>
      <c r="AS6" s="366"/>
      <c r="AT6" s="356"/>
      <c r="AU6" s="365"/>
      <c r="AV6" s="366"/>
      <c r="AW6" s="356"/>
      <c r="AX6" s="365"/>
      <c r="AY6" s="366"/>
      <c r="AZ6" s="356"/>
      <c r="BA6" s="365"/>
      <c r="BB6" s="366"/>
      <c r="BC6" s="356"/>
      <c r="BD6" s="365"/>
      <c r="BE6" s="366"/>
      <c r="BF6" s="356"/>
      <c r="BG6" s="365"/>
      <c r="BH6" s="366"/>
      <c r="BI6" s="356"/>
      <c r="BJ6" s="365"/>
      <c r="BK6" s="366"/>
      <c r="BL6" s="356"/>
      <c r="BM6" s="365"/>
      <c r="BN6" s="366"/>
      <c r="BO6" s="356"/>
      <c r="BP6" s="365"/>
      <c r="BQ6" s="366"/>
      <c r="BR6" s="356"/>
      <c r="BS6" s="365"/>
      <c r="BT6" s="366"/>
      <c r="BU6" s="356"/>
      <c r="BV6" s="365"/>
      <c r="BW6" s="366"/>
      <c r="BX6" s="356"/>
      <c r="BY6" s="365"/>
      <c r="BZ6" s="366"/>
      <c r="CA6" s="356"/>
      <c r="CB6" s="365"/>
      <c r="CC6" s="366"/>
      <c r="CD6" s="119"/>
    </row>
    <row r="7" spans="1:82">
      <c r="A7" s="345"/>
      <c r="B7" s="348"/>
      <c r="C7" s="350"/>
      <c r="D7" s="324"/>
      <c r="E7" s="334"/>
      <c r="F7" s="122" t="str">
        <f>'02_Sessional Course List'!F7</f>
        <v>A2</v>
      </c>
      <c r="G7" s="356"/>
      <c r="H7" s="361"/>
      <c r="I7" s="360"/>
      <c r="J7" s="356"/>
      <c r="K7" s="365"/>
      <c r="L7" s="366"/>
      <c r="M7" s="356"/>
      <c r="N7" s="365"/>
      <c r="O7" s="366"/>
      <c r="P7" s="356"/>
      <c r="Q7" s="365"/>
      <c r="R7" s="366"/>
      <c r="S7" s="356"/>
      <c r="T7" s="365"/>
      <c r="U7" s="366"/>
      <c r="V7" s="356"/>
      <c r="W7" s="365"/>
      <c r="X7" s="366"/>
      <c r="Y7" s="356"/>
      <c r="Z7" s="365"/>
      <c r="AA7" s="366"/>
      <c r="AB7" s="356"/>
      <c r="AC7" s="365"/>
      <c r="AD7" s="366"/>
      <c r="AE7" s="356"/>
      <c r="AF7" s="365"/>
      <c r="AG7" s="366"/>
      <c r="AH7" s="356"/>
      <c r="AI7" s="365"/>
      <c r="AJ7" s="366"/>
      <c r="AK7" s="356"/>
      <c r="AL7" s="365"/>
      <c r="AM7" s="366"/>
      <c r="AN7" s="356"/>
      <c r="AO7" s="365"/>
      <c r="AP7" s="366"/>
      <c r="AQ7" s="356"/>
      <c r="AR7" s="365"/>
      <c r="AS7" s="366"/>
      <c r="AT7" s="356"/>
      <c r="AU7" s="365"/>
      <c r="AV7" s="366"/>
      <c r="AW7" s="356"/>
      <c r="AX7" s="365"/>
      <c r="AY7" s="366"/>
      <c r="AZ7" s="356"/>
      <c r="BA7" s="365"/>
      <c r="BB7" s="366"/>
      <c r="BC7" s="356"/>
      <c r="BD7" s="365"/>
      <c r="BE7" s="366"/>
      <c r="BF7" s="356"/>
      <c r="BG7" s="365"/>
      <c r="BH7" s="366"/>
      <c r="BI7" s="356"/>
      <c r="BJ7" s="365"/>
      <c r="BK7" s="366"/>
      <c r="BL7" s="356"/>
      <c r="BM7" s="365"/>
      <c r="BN7" s="366"/>
      <c r="BO7" s="356"/>
      <c r="BP7" s="365"/>
      <c r="BQ7" s="366"/>
      <c r="BR7" s="356"/>
      <c r="BS7" s="365"/>
      <c r="BT7" s="366"/>
      <c r="BU7" s="356"/>
      <c r="BV7" s="365"/>
      <c r="BW7" s="366"/>
      <c r="BX7" s="356"/>
      <c r="BY7" s="365"/>
      <c r="BZ7" s="366"/>
      <c r="CA7" s="356"/>
      <c r="CB7" s="365"/>
      <c r="CC7" s="366"/>
      <c r="CD7" s="118"/>
    </row>
    <row r="8" spans="1:82">
      <c r="A8" s="345"/>
      <c r="B8" s="348">
        <f>'02_Sessional Course List'!B8</f>
        <v>4</v>
      </c>
      <c r="C8" s="350" t="str">
        <f>'02_Sessional Course List'!C8</f>
        <v>BME 208</v>
      </c>
      <c r="D8" s="351" t="str">
        <f>'02_Sessional Course List'!D8</f>
        <v>Biomaterials Sessional</v>
      </c>
      <c r="E8" s="352">
        <f>'02_Sessional Course List'!E8</f>
        <v>3</v>
      </c>
      <c r="F8" s="123" t="str">
        <f>'02_Sessional Course List'!F8</f>
        <v>A1</v>
      </c>
      <c r="G8" s="356" t="s">
        <v>128</v>
      </c>
      <c r="H8" s="361"/>
      <c r="I8" s="360" t="s">
        <v>129</v>
      </c>
      <c r="J8" s="356" t="s">
        <v>132</v>
      </c>
      <c r="K8" s="365"/>
      <c r="L8" s="366" t="s">
        <v>129</v>
      </c>
      <c r="M8" s="356" t="s">
        <v>133</v>
      </c>
      <c r="N8" s="365" t="s">
        <v>134</v>
      </c>
      <c r="O8" s="366" t="s">
        <v>129</v>
      </c>
      <c r="P8" s="356"/>
      <c r="Q8" s="365"/>
      <c r="R8" s="366"/>
      <c r="S8" s="356"/>
      <c r="T8" s="365"/>
      <c r="U8" s="366"/>
      <c r="V8" s="356"/>
      <c r="W8" s="365"/>
      <c r="X8" s="366"/>
      <c r="Y8" s="356"/>
      <c r="Z8" s="365"/>
      <c r="AA8" s="366"/>
      <c r="AB8" s="356"/>
      <c r="AC8" s="365"/>
      <c r="AD8" s="366"/>
      <c r="AE8" s="356"/>
      <c r="AF8" s="365"/>
      <c r="AG8" s="366"/>
      <c r="AH8" s="356"/>
      <c r="AI8" s="365"/>
      <c r="AJ8" s="366"/>
      <c r="AK8" s="356"/>
      <c r="AL8" s="365"/>
      <c r="AM8" s="366"/>
      <c r="AN8" s="356"/>
      <c r="AO8" s="365"/>
      <c r="AP8" s="366"/>
      <c r="AQ8" s="356"/>
      <c r="AR8" s="365"/>
      <c r="AS8" s="366"/>
      <c r="AT8" s="356"/>
      <c r="AU8" s="365"/>
      <c r="AV8" s="366"/>
      <c r="AW8" s="356"/>
      <c r="AX8" s="365"/>
      <c r="AY8" s="366"/>
      <c r="AZ8" s="356"/>
      <c r="BA8" s="365"/>
      <c r="BB8" s="366"/>
      <c r="BC8" s="356"/>
      <c r="BD8" s="365"/>
      <c r="BE8" s="366"/>
      <c r="BF8" s="356"/>
      <c r="BG8" s="365"/>
      <c r="BH8" s="366"/>
      <c r="BI8" s="356"/>
      <c r="BJ8" s="365"/>
      <c r="BK8" s="366"/>
      <c r="BL8" s="356"/>
      <c r="BM8" s="365"/>
      <c r="BN8" s="366"/>
      <c r="BO8" s="356"/>
      <c r="BP8" s="365"/>
      <c r="BQ8" s="366"/>
      <c r="BR8" s="356"/>
      <c r="BS8" s="365"/>
      <c r="BT8" s="366"/>
      <c r="BU8" s="356"/>
      <c r="BV8" s="365"/>
      <c r="BW8" s="366"/>
      <c r="BX8" s="356"/>
      <c r="BY8" s="365"/>
      <c r="BZ8" s="366"/>
      <c r="CA8" s="356"/>
      <c r="CB8" s="365"/>
      <c r="CC8" s="366"/>
      <c r="CD8" s="119"/>
    </row>
    <row r="9" spans="1:82">
      <c r="A9" s="345"/>
      <c r="B9" s="348"/>
      <c r="C9" s="350"/>
      <c r="D9" s="324"/>
      <c r="E9" s="334"/>
      <c r="F9" s="122" t="str">
        <f>'02_Sessional Course List'!F9</f>
        <v>A2</v>
      </c>
      <c r="G9" s="356"/>
      <c r="H9" s="361"/>
      <c r="I9" s="360"/>
      <c r="J9" s="356"/>
      <c r="K9" s="365"/>
      <c r="L9" s="366"/>
      <c r="M9" s="356"/>
      <c r="N9" s="365"/>
      <c r="O9" s="366"/>
      <c r="P9" s="356"/>
      <c r="Q9" s="365"/>
      <c r="R9" s="366"/>
      <c r="S9" s="356"/>
      <c r="T9" s="365"/>
      <c r="U9" s="366"/>
      <c r="V9" s="356"/>
      <c r="W9" s="365"/>
      <c r="X9" s="366"/>
      <c r="Y9" s="356"/>
      <c r="Z9" s="365"/>
      <c r="AA9" s="366"/>
      <c r="AB9" s="356"/>
      <c r="AC9" s="365"/>
      <c r="AD9" s="366"/>
      <c r="AE9" s="356"/>
      <c r="AF9" s="365"/>
      <c r="AG9" s="366"/>
      <c r="AH9" s="356"/>
      <c r="AI9" s="365"/>
      <c r="AJ9" s="366"/>
      <c r="AK9" s="356"/>
      <c r="AL9" s="365"/>
      <c r="AM9" s="366"/>
      <c r="AN9" s="356"/>
      <c r="AO9" s="365"/>
      <c r="AP9" s="366"/>
      <c r="AQ9" s="356"/>
      <c r="AR9" s="365"/>
      <c r="AS9" s="366"/>
      <c r="AT9" s="356"/>
      <c r="AU9" s="365"/>
      <c r="AV9" s="366"/>
      <c r="AW9" s="356"/>
      <c r="AX9" s="365"/>
      <c r="AY9" s="366"/>
      <c r="AZ9" s="356"/>
      <c r="BA9" s="365"/>
      <c r="BB9" s="366"/>
      <c r="BC9" s="356"/>
      <c r="BD9" s="365"/>
      <c r="BE9" s="366"/>
      <c r="BF9" s="356"/>
      <c r="BG9" s="365"/>
      <c r="BH9" s="366"/>
      <c r="BI9" s="356"/>
      <c r="BJ9" s="365"/>
      <c r="BK9" s="366"/>
      <c r="BL9" s="356"/>
      <c r="BM9" s="365"/>
      <c r="BN9" s="366"/>
      <c r="BO9" s="356"/>
      <c r="BP9" s="365"/>
      <c r="BQ9" s="366"/>
      <c r="BR9" s="356"/>
      <c r="BS9" s="365"/>
      <c r="BT9" s="366"/>
      <c r="BU9" s="356"/>
      <c r="BV9" s="365"/>
      <c r="BW9" s="366"/>
      <c r="BX9" s="356"/>
      <c r="BY9" s="365"/>
      <c r="BZ9" s="366"/>
      <c r="CA9" s="356"/>
      <c r="CB9" s="365"/>
      <c r="CC9" s="366"/>
      <c r="CD9" s="118"/>
    </row>
    <row r="10" spans="1:82">
      <c r="A10" s="345"/>
      <c r="B10" s="348">
        <f>'02_Sessional Course List'!B10</f>
        <v>5</v>
      </c>
      <c r="C10" s="350" t="str">
        <f>'02_Sessional Course List'!C10</f>
        <v>BME 210</v>
      </c>
      <c r="D10" s="351" t="str">
        <f>'02_Sessional Course List'!D10</f>
        <v>Numerial Techniques Sessional</v>
      </c>
      <c r="E10" s="352">
        <f>'02_Sessional Course List'!E10</f>
        <v>1.5</v>
      </c>
      <c r="F10" s="123" t="str">
        <f>'02_Sessional Course List'!F10</f>
        <v>A1</v>
      </c>
      <c r="G10" s="356"/>
      <c r="H10" s="361"/>
      <c r="I10" s="360"/>
      <c r="J10" s="356"/>
      <c r="K10" s="365"/>
      <c r="L10" s="366"/>
      <c r="M10" s="356"/>
      <c r="N10" s="365">
        <v>46259</v>
      </c>
      <c r="O10" s="369"/>
      <c r="P10" s="356"/>
      <c r="Q10" s="365"/>
      <c r="R10" s="366"/>
      <c r="S10" s="356"/>
      <c r="T10" s="365"/>
      <c r="U10" s="366"/>
      <c r="V10" s="356"/>
      <c r="W10" s="365"/>
      <c r="X10" s="366"/>
      <c r="Y10" s="356"/>
      <c r="Z10" s="365"/>
      <c r="AA10" s="366"/>
      <c r="AB10" s="356"/>
      <c r="AC10" s="365"/>
      <c r="AD10" s="366"/>
      <c r="AE10" s="356"/>
      <c r="AF10" s="365"/>
      <c r="AG10" s="366"/>
      <c r="AH10" s="356"/>
      <c r="AI10" s="365"/>
      <c r="AJ10" s="366"/>
      <c r="AK10" s="356"/>
      <c r="AL10" s="365"/>
      <c r="AM10" s="366"/>
      <c r="AN10" s="356"/>
      <c r="AO10" s="365"/>
      <c r="AP10" s="366"/>
      <c r="AQ10" s="356"/>
      <c r="AR10" s="365"/>
      <c r="AS10" s="366"/>
      <c r="AT10" s="356"/>
      <c r="AU10" s="365"/>
      <c r="AV10" s="366"/>
      <c r="AW10" s="356"/>
      <c r="AX10" s="365"/>
      <c r="AY10" s="366"/>
      <c r="AZ10" s="356"/>
      <c r="BA10" s="365"/>
      <c r="BB10" s="366"/>
      <c r="BC10" s="356"/>
      <c r="BD10" s="365"/>
      <c r="BE10" s="366"/>
      <c r="BF10" s="356"/>
      <c r="BG10" s="365"/>
      <c r="BH10" s="366"/>
      <c r="BI10" s="356"/>
      <c r="BJ10" s="365"/>
      <c r="BK10" s="366"/>
      <c r="BL10" s="356"/>
      <c r="BM10" s="365"/>
      <c r="BN10" s="366"/>
      <c r="BO10" s="356"/>
      <c r="BP10" s="365"/>
      <c r="BQ10" s="366"/>
      <c r="BR10" s="356"/>
      <c r="BS10" s="365"/>
      <c r="BT10" s="366"/>
      <c r="BU10" s="356"/>
      <c r="BV10" s="365"/>
      <c r="BW10" s="366"/>
      <c r="BX10" s="356"/>
      <c r="BY10" s="365"/>
      <c r="BZ10" s="366"/>
      <c r="CA10" s="356"/>
      <c r="CB10" s="365"/>
      <c r="CC10" s="366"/>
      <c r="CD10" s="119"/>
    </row>
    <row r="11" spans="1:82">
      <c r="A11" s="345"/>
      <c r="B11" s="348"/>
      <c r="C11" s="350"/>
      <c r="D11" s="324"/>
      <c r="E11" s="334"/>
      <c r="F11" s="122" t="str">
        <f>'02_Sessional Course List'!F11</f>
        <v>A2</v>
      </c>
      <c r="G11" s="356"/>
      <c r="H11" s="361"/>
      <c r="I11" s="360"/>
      <c r="J11" s="356"/>
      <c r="K11" s="365"/>
      <c r="L11" s="366"/>
      <c r="M11" s="356"/>
      <c r="N11" s="365"/>
      <c r="O11" s="370"/>
      <c r="P11" s="356"/>
      <c r="Q11" s="365"/>
      <c r="R11" s="366"/>
      <c r="S11" s="356"/>
      <c r="T11" s="365"/>
      <c r="U11" s="366"/>
      <c r="V11" s="356"/>
      <c r="W11" s="365"/>
      <c r="X11" s="366"/>
      <c r="Y11" s="356"/>
      <c r="Z11" s="365"/>
      <c r="AA11" s="366"/>
      <c r="AB11" s="356"/>
      <c r="AC11" s="365"/>
      <c r="AD11" s="366"/>
      <c r="AE11" s="356"/>
      <c r="AF11" s="365"/>
      <c r="AG11" s="366"/>
      <c r="AH11" s="356"/>
      <c r="AI11" s="365"/>
      <c r="AJ11" s="366"/>
      <c r="AK11" s="356"/>
      <c r="AL11" s="365"/>
      <c r="AM11" s="366"/>
      <c r="AN11" s="356"/>
      <c r="AO11" s="365"/>
      <c r="AP11" s="366"/>
      <c r="AQ11" s="356"/>
      <c r="AR11" s="365"/>
      <c r="AS11" s="366"/>
      <c r="AT11" s="356"/>
      <c r="AU11" s="365"/>
      <c r="AV11" s="366"/>
      <c r="AW11" s="356"/>
      <c r="AX11" s="365"/>
      <c r="AY11" s="366"/>
      <c r="AZ11" s="356"/>
      <c r="BA11" s="365"/>
      <c r="BB11" s="366"/>
      <c r="BC11" s="356"/>
      <c r="BD11" s="365"/>
      <c r="BE11" s="366"/>
      <c r="BF11" s="356"/>
      <c r="BG11" s="365"/>
      <c r="BH11" s="366"/>
      <c r="BI11" s="356"/>
      <c r="BJ11" s="365"/>
      <c r="BK11" s="366"/>
      <c r="BL11" s="356"/>
      <c r="BM11" s="365"/>
      <c r="BN11" s="366"/>
      <c r="BO11" s="356"/>
      <c r="BP11" s="365"/>
      <c r="BQ11" s="366"/>
      <c r="BR11" s="356"/>
      <c r="BS11" s="365"/>
      <c r="BT11" s="366"/>
      <c r="BU11" s="356"/>
      <c r="BV11" s="365"/>
      <c r="BW11" s="366"/>
      <c r="BX11" s="356"/>
      <c r="BY11" s="365"/>
      <c r="BZ11" s="366"/>
      <c r="CA11" s="356"/>
      <c r="CB11" s="365"/>
      <c r="CC11" s="366"/>
      <c r="CD11" s="118"/>
    </row>
    <row r="12" spans="1:82">
      <c r="A12" s="345"/>
      <c r="B12" s="348">
        <f>'02_Sessional Course List'!B12</f>
        <v>6</v>
      </c>
      <c r="C12" s="350" t="str">
        <f>'02_Sessional Course List'!C12</f>
        <v>BME 300</v>
      </c>
      <c r="D12" s="353" t="str">
        <f>'02_Sessional Course List'!D12</f>
        <v>Biomedical Engineering Design - I</v>
      </c>
      <c r="E12" s="352">
        <f>'02_Sessional Course List'!E12</f>
        <v>3</v>
      </c>
      <c r="F12" s="123" t="str">
        <f>'02_Sessional Course List'!F12</f>
        <v>A1</v>
      </c>
      <c r="G12" s="356"/>
      <c r="H12" s="361"/>
      <c r="I12" s="360"/>
      <c r="J12" s="356"/>
      <c r="K12" s="365"/>
      <c r="L12" s="366"/>
      <c r="M12" s="356"/>
      <c r="N12" s="365"/>
      <c r="O12" s="366"/>
      <c r="P12" s="356"/>
      <c r="Q12" s="365"/>
      <c r="R12" s="366"/>
      <c r="S12" s="356"/>
      <c r="T12" s="365"/>
      <c r="U12" s="366"/>
      <c r="V12" s="356"/>
      <c r="W12" s="365"/>
      <c r="X12" s="366"/>
      <c r="Y12" s="356"/>
      <c r="Z12" s="365"/>
      <c r="AA12" s="366"/>
      <c r="AB12" s="356"/>
      <c r="AC12" s="365"/>
      <c r="AD12" s="366"/>
      <c r="AE12" s="356"/>
      <c r="AF12" s="365"/>
      <c r="AG12" s="366"/>
      <c r="AH12" s="356"/>
      <c r="AI12" s="365"/>
      <c r="AJ12" s="366"/>
      <c r="AK12" s="356"/>
      <c r="AL12" s="365"/>
      <c r="AM12" s="366"/>
      <c r="AN12" s="356"/>
      <c r="AO12" s="365"/>
      <c r="AP12" s="366"/>
      <c r="AQ12" s="356"/>
      <c r="AR12" s="365"/>
      <c r="AS12" s="366"/>
      <c r="AT12" s="356"/>
      <c r="AU12" s="365"/>
      <c r="AV12" s="366"/>
      <c r="AW12" s="356"/>
      <c r="AX12" s="365"/>
      <c r="AY12" s="366"/>
      <c r="AZ12" s="356"/>
      <c r="BA12" s="365"/>
      <c r="BB12" s="366"/>
      <c r="BC12" s="356"/>
      <c r="BD12" s="365"/>
      <c r="BE12" s="366"/>
      <c r="BF12" s="356"/>
      <c r="BG12" s="365"/>
      <c r="BH12" s="366"/>
      <c r="BI12" s="356"/>
      <c r="BJ12" s="365"/>
      <c r="BK12" s="366"/>
      <c r="BL12" s="356"/>
      <c r="BM12" s="365"/>
      <c r="BN12" s="366"/>
      <c r="BO12" s="356"/>
      <c r="BP12" s="365"/>
      <c r="BQ12" s="366"/>
      <c r="BR12" s="356"/>
      <c r="BS12" s="365"/>
      <c r="BT12" s="366"/>
      <c r="BU12" s="356"/>
      <c r="BV12" s="365"/>
      <c r="BW12" s="366"/>
      <c r="BX12" s="356"/>
      <c r="BY12" s="365"/>
      <c r="BZ12" s="366"/>
      <c r="CA12" s="356"/>
      <c r="CB12" s="365"/>
      <c r="CC12" s="366"/>
      <c r="CD12" s="119"/>
    </row>
    <row r="13" spans="1:82">
      <c r="A13" s="345"/>
      <c r="B13" s="348"/>
      <c r="C13" s="350"/>
      <c r="D13" s="322"/>
      <c r="E13" s="334"/>
      <c r="F13" s="122" t="str">
        <f>'02_Sessional Course List'!F13</f>
        <v>A2</v>
      </c>
      <c r="G13" s="356"/>
      <c r="H13" s="361"/>
      <c r="I13" s="360"/>
      <c r="J13" s="356"/>
      <c r="K13" s="365"/>
      <c r="L13" s="366"/>
      <c r="M13" s="356"/>
      <c r="N13" s="365"/>
      <c r="O13" s="366"/>
      <c r="P13" s="356"/>
      <c r="Q13" s="365"/>
      <c r="R13" s="366"/>
      <c r="S13" s="356"/>
      <c r="T13" s="365"/>
      <c r="U13" s="366"/>
      <c r="V13" s="356"/>
      <c r="W13" s="365"/>
      <c r="X13" s="366"/>
      <c r="Y13" s="356"/>
      <c r="Z13" s="365"/>
      <c r="AA13" s="366"/>
      <c r="AB13" s="356"/>
      <c r="AC13" s="365"/>
      <c r="AD13" s="366"/>
      <c r="AE13" s="356"/>
      <c r="AF13" s="365"/>
      <c r="AG13" s="366"/>
      <c r="AH13" s="356"/>
      <c r="AI13" s="365"/>
      <c r="AJ13" s="366"/>
      <c r="AK13" s="356"/>
      <c r="AL13" s="365"/>
      <c r="AM13" s="366"/>
      <c r="AN13" s="356"/>
      <c r="AO13" s="365"/>
      <c r="AP13" s="366"/>
      <c r="AQ13" s="356"/>
      <c r="AR13" s="365"/>
      <c r="AS13" s="366"/>
      <c r="AT13" s="356"/>
      <c r="AU13" s="365"/>
      <c r="AV13" s="366"/>
      <c r="AW13" s="356"/>
      <c r="AX13" s="365"/>
      <c r="AY13" s="366"/>
      <c r="AZ13" s="356"/>
      <c r="BA13" s="365"/>
      <c r="BB13" s="366"/>
      <c r="BC13" s="356"/>
      <c r="BD13" s="365"/>
      <c r="BE13" s="366"/>
      <c r="BF13" s="356"/>
      <c r="BG13" s="365"/>
      <c r="BH13" s="366"/>
      <c r="BI13" s="356"/>
      <c r="BJ13" s="365"/>
      <c r="BK13" s="366"/>
      <c r="BL13" s="356"/>
      <c r="BM13" s="365"/>
      <c r="BN13" s="366"/>
      <c r="BO13" s="356"/>
      <c r="BP13" s="365"/>
      <c r="BQ13" s="366"/>
      <c r="BR13" s="356"/>
      <c r="BS13" s="365"/>
      <c r="BT13" s="366"/>
      <c r="BU13" s="356"/>
      <c r="BV13" s="365"/>
      <c r="BW13" s="366"/>
      <c r="BX13" s="356"/>
      <c r="BY13" s="365"/>
      <c r="BZ13" s="366"/>
      <c r="CA13" s="356"/>
      <c r="CB13" s="365"/>
      <c r="CC13" s="366"/>
      <c r="CD13" s="118"/>
    </row>
    <row r="14" spans="1:82" ht="15" customHeight="1">
      <c r="A14" s="345"/>
      <c r="B14" s="348">
        <f>'02_Sessional Course List'!B14</f>
        <v>7</v>
      </c>
      <c r="C14" s="350" t="str">
        <f>'02_Sessional Course List'!C14</f>
        <v>BME 304</v>
      </c>
      <c r="D14" s="351" t="str">
        <f>'02_Sessional Course List'!D14</f>
        <v>Biomedical Instrumentation and Measurements Sessional</v>
      </c>
      <c r="E14" s="352">
        <f>'02_Sessional Course List'!E14</f>
        <v>3</v>
      </c>
      <c r="F14" s="123" t="str">
        <f>'02_Sessional Course List'!F14</f>
        <v>A1</v>
      </c>
      <c r="G14" s="356"/>
      <c r="H14" s="361">
        <v>46236</v>
      </c>
      <c r="I14" s="360" t="s">
        <v>131</v>
      </c>
      <c r="J14" s="356" t="s">
        <v>130</v>
      </c>
      <c r="K14" s="365"/>
      <c r="L14" s="366"/>
      <c r="M14" s="356"/>
      <c r="N14" s="365"/>
      <c r="O14" s="366"/>
      <c r="P14" s="356"/>
      <c r="Q14" s="365"/>
      <c r="R14" s="366"/>
      <c r="S14" s="356"/>
      <c r="T14" s="365"/>
      <c r="U14" s="366"/>
      <c r="V14" s="356"/>
      <c r="W14" s="365"/>
      <c r="X14" s="366"/>
      <c r="Y14" s="356"/>
      <c r="Z14" s="365"/>
      <c r="AA14" s="366"/>
      <c r="AB14" s="356"/>
      <c r="AC14" s="365"/>
      <c r="AD14" s="366"/>
      <c r="AE14" s="356"/>
      <c r="AF14" s="365"/>
      <c r="AG14" s="366"/>
      <c r="AH14" s="356"/>
      <c r="AI14" s="365"/>
      <c r="AJ14" s="366"/>
      <c r="AK14" s="356"/>
      <c r="AL14" s="365"/>
      <c r="AM14" s="366"/>
      <c r="AN14" s="356"/>
      <c r="AO14" s="365"/>
      <c r="AP14" s="366"/>
      <c r="AQ14" s="356"/>
      <c r="AR14" s="365"/>
      <c r="AS14" s="366"/>
      <c r="AT14" s="356"/>
      <c r="AU14" s="365"/>
      <c r="AV14" s="366"/>
      <c r="AW14" s="356"/>
      <c r="AX14" s="365"/>
      <c r="AY14" s="366"/>
      <c r="AZ14" s="356"/>
      <c r="BA14" s="365"/>
      <c r="BB14" s="366"/>
      <c r="BC14" s="356"/>
      <c r="BD14" s="365"/>
      <c r="BE14" s="366"/>
      <c r="BF14" s="356"/>
      <c r="BG14" s="365"/>
      <c r="BH14" s="366"/>
      <c r="BI14" s="356"/>
      <c r="BJ14" s="365"/>
      <c r="BK14" s="366"/>
      <c r="BL14" s="356"/>
      <c r="BM14" s="365"/>
      <c r="BN14" s="366"/>
      <c r="BO14" s="356"/>
      <c r="BP14" s="365"/>
      <c r="BQ14" s="366"/>
      <c r="BR14" s="356"/>
      <c r="BS14" s="365"/>
      <c r="BT14" s="366"/>
      <c r="BU14" s="356"/>
      <c r="BV14" s="365"/>
      <c r="BW14" s="366"/>
      <c r="BX14" s="356"/>
      <c r="BY14" s="365"/>
      <c r="BZ14" s="366"/>
      <c r="CA14" s="356"/>
      <c r="CB14" s="365"/>
      <c r="CC14" s="366"/>
      <c r="CD14" s="119"/>
    </row>
    <row r="15" spans="1:82" ht="31.5" customHeight="1">
      <c r="A15" s="345"/>
      <c r="B15" s="348"/>
      <c r="C15" s="350"/>
      <c r="D15" s="324"/>
      <c r="E15" s="334"/>
      <c r="F15" s="122" t="str">
        <f>'02_Sessional Course List'!F15</f>
        <v>A2</v>
      </c>
      <c r="G15" s="356"/>
      <c r="H15" s="361"/>
      <c r="I15" s="360"/>
      <c r="J15" s="356"/>
      <c r="K15" s="365"/>
      <c r="L15" s="366"/>
      <c r="M15" s="356"/>
      <c r="N15" s="365"/>
      <c r="O15" s="366"/>
      <c r="P15" s="356"/>
      <c r="Q15" s="365"/>
      <c r="R15" s="366"/>
      <c r="S15" s="356"/>
      <c r="T15" s="365"/>
      <c r="U15" s="366"/>
      <c r="V15" s="356"/>
      <c r="W15" s="365"/>
      <c r="X15" s="366"/>
      <c r="Y15" s="356"/>
      <c r="Z15" s="365"/>
      <c r="AA15" s="366"/>
      <c r="AB15" s="356"/>
      <c r="AC15" s="365"/>
      <c r="AD15" s="366"/>
      <c r="AE15" s="356"/>
      <c r="AF15" s="365"/>
      <c r="AG15" s="366"/>
      <c r="AH15" s="356"/>
      <c r="AI15" s="365"/>
      <c r="AJ15" s="366"/>
      <c r="AK15" s="356"/>
      <c r="AL15" s="365"/>
      <c r="AM15" s="366"/>
      <c r="AN15" s="356"/>
      <c r="AO15" s="365"/>
      <c r="AP15" s="366"/>
      <c r="AQ15" s="356"/>
      <c r="AR15" s="365"/>
      <c r="AS15" s="366"/>
      <c r="AT15" s="356"/>
      <c r="AU15" s="365"/>
      <c r="AV15" s="366"/>
      <c r="AW15" s="356"/>
      <c r="AX15" s="365"/>
      <c r="AY15" s="366"/>
      <c r="AZ15" s="356"/>
      <c r="BA15" s="365"/>
      <c r="BB15" s="366"/>
      <c r="BC15" s="356"/>
      <c r="BD15" s="365"/>
      <c r="BE15" s="366"/>
      <c r="BF15" s="356"/>
      <c r="BG15" s="365"/>
      <c r="BH15" s="366"/>
      <c r="BI15" s="356"/>
      <c r="BJ15" s="365"/>
      <c r="BK15" s="366"/>
      <c r="BL15" s="356"/>
      <c r="BM15" s="365"/>
      <c r="BN15" s="366"/>
      <c r="BO15" s="356"/>
      <c r="BP15" s="365"/>
      <c r="BQ15" s="366"/>
      <c r="BR15" s="356"/>
      <c r="BS15" s="365"/>
      <c r="BT15" s="366"/>
      <c r="BU15" s="356"/>
      <c r="BV15" s="365"/>
      <c r="BW15" s="366"/>
      <c r="BX15" s="356"/>
      <c r="BY15" s="365"/>
      <c r="BZ15" s="366"/>
      <c r="CA15" s="356"/>
      <c r="CB15" s="365"/>
      <c r="CC15" s="366"/>
      <c r="CD15" s="118"/>
    </row>
    <row r="16" spans="1:82" ht="75" customHeight="1">
      <c r="A16" s="345"/>
      <c r="B16" s="379">
        <f>'02_Sessional Course List'!B16</f>
        <v>8</v>
      </c>
      <c r="C16" s="377" t="str">
        <f>'02_Sessional Course List'!C16</f>
        <v>BME 310</v>
      </c>
      <c r="D16" s="375" t="str">
        <f>'02_Sessional Course List'!D16</f>
        <v>Communication Protocol for Biomedical Instruments Sessional</v>
      </c>
      <c r="E16" s="352">
        <f>'02_Sessional Course List'!E16</f>
        <v>3</v>
      </c>
      <c r="F16" s="123" t="str">
        <f>'02_Sessional Course List'!F16</f>
        <v>A1</v>
      </c>
      <c r="G16" s="357" t="s">
        <v>135</v>
      </c>
      <c r="H16" s="363"/>
      <c r="I16" s="373" t="s">
        <v>131</v>
      </c>
      <c r="J16" s="357" t="s">
        <v>132</v>
      </c>
      <c r="K16" s="371"/>
      <c r="L16" s="373" t="s">
        <v>131</v>
      </c>
      <c r="M16" s="357" t="s">
        <v>133</v>
      </c>
      <c r="N16" s="371"/>
      <c r="O16" s="373" t="s">
        <v>131</v>
      </c>
      <c r="P16" s="357" t="s">
        <v>130</v>
      </c>
      <c r="Q16" s="371"/>
      <c r="R16" s="373" t="s">
        <v>136</v>
      </c>
      <c r="S16" s="357"/>
      <c r="T16" s="371"/>
      <c r="U16" s="369"/>
      <c r="V16" s="357"/>
      <c r="W16" s="371"/>
      <c r="X16" s="369"/>
      <c r="Y16" s="357"/>
      <c r="Z16" s="371"/>
      <c r="AA16" s="369"/>
      <c r="AB16" s="357"/>
      <c r="AC16" s="371"/>
      <c r="AD16" s="369"/>
      <c r="AE16" s="357"/>
      <c r="AF16" s="371"/>
      <c r="AG16" s="369"/>
      <c r="AH16" s="357"/>
      <c r="AI16" s="371"/>
      <c r="AJ16" s="369"/>
      <c r="AK16" s="357"/>
      <c r="AL16" s="371"/>
      <c r="AM16" s="369"/>
      <c r="AN16" s="357"/>
      <c r="AO16" s="371"/>
      <c r="AP16" s="369"/>
      <c r="AQ16" s="357"/>
      <c r="AR16" s="371"/>
      <c r="AS16" s="369"/>
      <c r="AT16" s="357"/>
      <c r="AU16" s="371"/>
      <c r="AV16" s="369"/>
      <c r="AW16" s="357"/>
      <c r="AX16" s="371"/>
      <c r="AY16" s="369"/>
      <c r="AZ16" s="357"/>
      <c r="BA16" s="371"/>
      <c r="BB16" s="369"/>
      <c r="BC16" s="357"/>
      <c r="BD16" s="371"/>
      <c r="BE16" s="369"/>
      <c r="BF16" s="357"/>
      <c r="BG16" s="371"/>
      <c r="BH16" s="369"/>
      <c r="BI16" s="357"/>
      <c r="BJ16" s="371"/>
      <c r="BK16" s="369"/>
      <c r="BL16" s="357"/>
      <c r="BM16" s="371"/>
      <c r="BN16" s="369"/>
      <c r="BO16" s="357"/>
      <c r="BP16" s="371"/>
      <c r="BQ16" s="369"/>
      <c r="BR16" s="357"/>
      <c r="BS16" s="371"/>
      <c r="BT16" s="369"/>
      <c r="BU16" s="357"/>
      <c r="BV16" s="371"/>
      <c r="BW16" s="369"/>
      <c r="BX16" s="357"/>
      <c r="BY16" s="371"/>
      <c r="BZ16" s="369"/>
      <c r="CA16" s="357"/>
      <c r="CB16" s="371"/>
      <c r="CC16" s="369"/>
      <c r="CD16" s="119"/>
    </row>
    <row r="17" spans="1:82" ht="18.75" hidden="1" customHeight="1">
      <c r="A17" s="345"/>
      <c r="B17" s="327"/>
      <c r="C17" s="378"/>
      <c r="D17" s="376"/>
      <c r="E17" s="334"/>
      <c r="F17" s="122" t="str">
        <f>'02_Sessional Course List'!F17</f>
        <v>A2</v>
      </c>
      <c r="G17" s="358"/>
      <c r="H17" s="364"/>
      <c r="I17" s="374"/>
      <c r="J17" s="358"/>
      <c r="K17" s="372"/>
      <c r="L17" s="374"/>
      <c r="M17" s="358"/>
      <c r="N17" s="372"/>
      <c r="O17" s="374"/>
      <c r="P17" s="358"/>
      <c r="Q17" s="372"/>
      <c r="R17" s="374"/>
      <c r="S17" s="358"/>
      <c r="T17" s="372"/>
      <c r="U17" s="370"/>
      <c r="V17" s="358"/>
      <c r="W17" s="372"/>
      <c r="X17" s="370"/>
      <c r="Y17" s="358"/>
      <c r="Z17" s="372"/>
      <c r="AA17" s="370"/>
      <c r="AB17" s="358"/>
      <c r="AC17" s="372"/>
      <c r="AD17" s="370"/>
      <c r="AE17" s="358"/>
      <c r="AF17" s="372"/>
      <c r="AG17" s="370"/>
      <c r="AH17" s="358"/>
      <c r="AI17" s="372"/>
      <c r="AJ17" s="370"/>
      <c r="AK17" s="358"/>
      <c r="AL17" s="372"/>
      <c r="AM17" s="370"/>
      <c r="AN17" s="358"/>
      <c r="AO17" s="372"/>
      <c r="AP17" s="370"/>
      <c r="AQ17" s="358"/>
      <c r="AR17" s="372"/>
      <c r="AS17" s="370"/>
      <c r="AT17" s="358"/>
      <c r="AU17" s="372"/>
      <c r="AV17" s="370"/>
      <c r="AW17" s="358"/>
      <c r="AX17" s="372"/>
      <c r="AY17" s="370"/>
      <c r="AZ17" s="358"/>
      <c r="BA17" s="372"/>
      <c r="BB17" s="370"/>
      <c r="BC17" s="358"/>
      <c r="BD17" s="372"/>
      <c r="BE17" s="370"/>
      <c r="BF17" s="358"/>
      <c r="BG17" s="372"/>
      <c r="BH17" s="370"/>
      <c r="BI17" s="358"/>
      <c r="BJ17" s="372"/>
      <c r="BK17" s="370"/>
      <c r="BL17" s="358"/>
      <c r="BM17" s="372"/>
      <c r="BN17" s="370"/>
      <c r="BO17" s="358"/>
      <c r="BP17" s="372"/>
      <c r="BQ17" s="370"/>
      <c r="BR17" s="358"/>
      <c r="BS17" s="372"/>
      <c r="BT17" s="370"/>
      <c r="BU17" s="358"/>
      <c r="BV17" s="372"/>
      <c r="BW17" s="370"/>
      <c r="BX17" s="358"/>
      <c r="BY17" s="372"/>
      <c r="BZ17" s="370"/>
      <c r="CA17" s="358"/>
      <c r="CB17" s="372"/>
      <c r="CC17" s="370"/>
      <c r="CD17" s="118"/>
    </row>
    <row r="18" spans="1:82" ht="75" customHeight="1">
      <c r="A18" s="345"/>
      <c r="B18" s="348">
        <f>'02_Sessional Course List'!B18</f>
        <v>9</v>
      </c>
      <c r="C18" s="354" t="str">
        <f>'02_Sessional Course List'!C18</f>
        <v>BME 404</v>
      </c>
      <c r="D18" s="351" t="str">
        <f>'02_Sessional Course List'!D18</f>
        <v>Medical Imaging Sessional</v>
      </c>
      <c r="E18" s="352">
        <f>'02_Sessional Course List'!E18</f>
        <v>3</v>
      </c>
      <c r="F18" s="123" t="str">
        <f>'02_Sessional Course List'!F18</f>
        <v>A1</v>
      </c>
      <c r="G18" s="356" t="s">
        <v>135</v>
      </c>
      <c r="H18" s="361"/>
      <c r="I18" s="360" t="s">
        <v>131</v>
      </c>
      <c r="J18" s="356" t="s">
        <v>132</v>
      </c>
      <c r="K18" s="365"/>
      <c r="L18" s="360" t="s">
        <v>136</v>
      </c>
      <c r="M18" s="356" t="s">
        <v>130</v>
      </c>
      <c r="N18" s="365"/>
      <c r="O18" s="360" t="s">
        <v>136</v>
      </c>
      <c r="P18" s="356"/>
      <c r="Q18" s="365"/>
      <c r="R18" s="366"/>
      <c r="S18" s="356"/>
      <c r="T18" s="365"/>
      <c r="U18" s="366"/>
      <c r="V18" s="356"/>
      <c r="W18" s="365"/>
      <c r="X18" s="366"/>
      <c r="Y18" s="356"/>
      <c r="Z18" s="365"/>
      <c r="AA18" s="366"/>
      <c r="AB18" s="356"/>
      <c r="AC18" s="365"/>
      <c r="AD18" s="366"/>
      <c r="AE18" s="356"/>
      <c r="AF18" s="365"/>
      <c r="AG18" s="366"/>
      <c r="AH18" s="356"/>
      <c r="AI18" s="365"/>
      <c r="AJ18" s="366"/>
      <c r="AK18" s="356"/>
      <c r="AL18" s="365"/>
      <c r="AM18" s="366"/>
      <c r="AN18" s="356"/>
      <c r="AO18" s="365"/>
      <c r="AP18" s="366"/>
      <c r="AQ18" s="356"/>
      <c r="AR18" s="365"/>
      <c r="AS18" s="366"/>
      <c r="AT18" s="356"/>
      <c r="AU18" s="365"/>
      <c r="AV18" s="366"/>
      <c r="AW18" s="356"/>
      <c r="AX18" s="365"/>
      <c r="AY18" s="366"/>
      <c r="AZ18" s="356"/>
      <c r="BA18" s="365"/>
      <c r="BB18" s="366"/>
      <c r="BC18" s="356"/>
      <c r="BD18" s="365"/>
      <c r="BE18" s="366"/>
      <c r="BF18" s="356"/>
      <c r="BG18" s="365"/>
      <c r="BH18" s="366"/>
      <c r="BI18" s="356"/>
      <c r="BJ18" s="365"/>
      <c r="BK18" s="366"/>
      <c r="BL18" s="356"/>
      <c r="BM18" s="365"/>
      <c r="BN18" s="366"/>
      <c r="BO18" s="356"/>
      <c r="BP18" s="365"/>
      <c r="BQ18" s="366"/>
      <c r="BR18" s="356"/>
      <c r="BS18" s="365"/>
      <c r="BT18" s="366"/>
      <c r="BU18" s="356"/>
      <c r="BV18" s="365"/>
      <c r="BW18" s="366"/>
      <c r="BX18" s="356"/>
      <c r="BY18" s="365"/>
      <c r="BZ18" s="366"/>
      <c r="CA18" s="356"/>
      <c r="CB18" s="365"/>
      <c r="CC18" s="366"/>
      <c r="CD18" s="117"/>
    </row>
    <row r="19" spans="1:82" ht="9" hidden="1" customHeight="1">
      <c r="A19" s="345"/>
      <c r="B19" s="348"/>
      <c r="C19" s="354"/>
      <c r="D19" s="324"/>
      <c r="E19" s="334"/>
      <c r="F19" s="122" t="str">
        <f>'02_Sessional Course List'!F19</f>
        <v>A2</v>
      </c>
      <c r="G19" s="356"/>
      <c r="H19" s="361"/>
      <c r="I19" s="360"/>
      <c r="J19" s="356"/>
      <c r="K19" s="365"/>
      <c r="L19" s="360"/>
      <c r="M19" s="356"/>
      <c r="N19" s="365"/>
      <c r="O19" s="360"/>
      <c r="P19" s="356"/>
      <c r="Q19" s="365"/>
      <c r="R19" s="366"/>
      <c r="S19" s="356"/>
      <c r="T19" s="365"/>
      <c r="U19" s="366"/>
      <c r="V19" s="356"/>
      <c r="W19" s="365"/>
      <c r="X19" s="366"/>
      <c r="Y19" s="356"/>
      <c r="Z19" s="365"/>
      <c r="AA19" s="366"/>
      <c r="AB19" s="356"/>
      <c r="AC19" s="365"/>
      <c r="AD19" s="366"/>
      <c r="AE19" s="356"/>
      <c r="AF19" s="365"/>
      <c r="AG19" s="366"/>
      <c r="AH19" s="356"/>
      <c r="AI19" s="365"/>
      <c r="AJ19" s="366"/>
      <c r="AK19" s="356"/>
      <c r="AL19" s="365"/>
      <c r="AM19" s="366"/>
      <c r="AN19" s="356"/>
      <c r="AO19" s="365"/>
      <c r="AP19" s="366"/>
      <c r="AQ19" s="356"/>
      <c r="AR19" s="365"/>
      <c r="AS19" s="366"/>
      <c r="AT19" s="356"/>
      <c r="AU19" s="365"/>
      <c r="AV19" s="366"/>
      <c r="AW19" s="356"/>
      <c r="AX19" s="365"/>
      <c r="AY19" s="366"/>
      <c r="AZ19" s="356"/>
      <c r="BA19" s="365"/>
      <c r="BB19" s="366"/>
      <c r="BC19" s="356"/>
      <c r="BD19" s="365"/>
      <c r="BE19" s="366"/>
      <c r="BF19" s="356"/>
      <c r="BG19" s="365"/>
      <c r="BH19" s="366"/>
      <c r="BI19" s="356"/>
      <c r="BJ19" s="365"/>
      <c r="BK19" s="366"/>
      <c r="BL19" s="356"/>
      <c r="BM19" s="365"/>
      <c r="BN19" s="366"/>
      <c r="BO19" s="356"/>
      <c r="BP19" s="365"/>
      <c r="BQ19" s="366"/>
      <c r="BR19" s="356"/>
      <c r="BS19" s="365"/>
      <c r="BT19" s="366"/>
      <c r="BU19" s="356"/>
      <c r="BV19" s="365"/>
      <c r="BW19" s="366"/>
      <c r="BX19" s="356"/>
      <c r="BY19" s="365"/>
      <c r="BZ19" s="366"/>
      <c r="CA19" s="356"/>
      <c r="CB19" s="365"/>
      <c r="CC19" s="366"/>
      <c r="CD19" s="118"/>
    </row>
    <row r="20" spans="1:82" ht="96" customHeight="1">
      <c r="A20" s="346"/>
      <c r="B20" s="80">
        <f>'02_Sessional Course List'!B20</f>
        <v>10</v>
      </c>
      <c r="C20" s="277" t="str">
        <f>'02_Sessional Course List'!C20</f>
        <v>BME 400</v>
      </c>
      <c r="D20" s="106" t="str">
        <f>'02_Sessional Course List'!D20</f>
        <v>Thesis</v>
      </c>
      <c r="E20" s="107">
        <f>'02_Sessional Course List'!E20</f>
        <v>6</v>
      </c>
      <c r="F20" s="124" t="str">
        <f>'02_Sessional Course List'!F20</f>
        <v>X</v>
      </c>
      <c r="G20" s="258"/>
      <c r="H20" s="280"/>
      <c r="I20" s="264"/>
      <c r="J20" s="258"/>
      <c r="K20" s="259"/>
      <c r="L20" s="260"/>
      <c r="M20" s="258"/>
      <c r="N20" s="259"/>
      <c r="O20" s="260"/>
      <c r="P20" s="258"/>
      <c r="Q20" s="259"/>
      <c r="R20" s="260"/>
      <c r="S20" s="258"/>
      <c r="T20" s="259"/>
      <c r="U20" s="260"/>
      <c r="V20" s="258"/>
      <c r="W20" s="259"/>
      <c r="X20" s="260"/>
      <c r="Y20" s="258"/>
      <c r="Z20" s="259"/>
      <c r="AA20" s="260"/>
      <c r="AB20" s="258"/>
      <c r="AC20" s="259"/>
      <c r="AD20" s="260"/>
      <c r="AE20" s="258"/>
      <c r="AF20" s="259"/>
      <c r="AG20" s="260"/>
      <c r="AH20" s="258"/>
      <c r="AI20" s="259"/>
      <c r="AJ20" s="260"/>
      <c r="AK20" s="258"/>
      <c r="AL20" s="259"/>
      <c r="AM20" s="260"/>
      <c r="AN20" s="258"/>
      <c r="AO20" s="259"/>
      <c r="AP20" s="260"/>
      <c r="AQ20" s="258"/>
      <c r="AR20" s="259"/>
      <c r="AS20" s="260"/>
      <c r="AT20" s="258"/>
      <c r="AU20" s="259"/>
      <c r="AV20" s="260"/>
      <c r="AW20" s="258"/>
      <c r="AX20" s="259"/>
      <c r="AY20" s="260"/>
      <c r="AZ20" s="258"/>
      <c r="BA20" s="259"/>
      <c r="BB20" s="260"/>
      <c r="BC20" s="258"/>
      <c r="BD20" s="259"/>
      <c r="BE20" s="260"/>
      <c r="BF20" s="258"/>
      <c r="BG20" s="259"/>
      <c r="BH20" s="260"/>
      <c r="BI20" s="258"/>
      <c r="BJ20" s="259"/>
      <c r="BK20" s="260"/>
      <c r="BL20" s="258"/>
      <c r="BM20" s="259"/>
      <c r="BN20" s="260"/>
      <c r="BO20" s="258"/>
      <c r="BP20" s="259"/>
      <c r="BQ20" s="260"/>
      <c r="BR20" s="258"/>
      <c r="BS20" s="259"/>
      <c r="BT20" s="260"/>
      <c r="BU20" s="258"/>
      <c r="BV20" s="259"/>
      <c r="BW20" s="260"/>
      <c r="BX20" s="258"/>
      <c r="BY20" s="259"/>
      <c r="BZ20" s="260"/>
      <c r="CA20" s="258"/>
      <c r="CB20" s="259"/>
      <c r="CC20" s="260"/>
      <c r="CD20" s="120"/>
    </row>
    <row r="21" spans="1:82" hidden="1">
      <c r="A21" s="10"/>
      <c r="B21" s="14"/>
      <c r="C21" s="15"/>
      <c r="D21" s="16"/>
      <c r="E21" s="15"/>
      <c r="F21" s="16"/>
      <c r="G21" s="11"/>
      <c r="H21" s="281"/>
      <c r="I21" s="265"/>
      <c r="J21" s="11"/>
      <c r="K21" s="11"/>
      <c r="L21" s="143"/>
      <c r="M21" s="11"/>
    </row>
    <row r="22" spans="1:82" hidden="1">
      <c r="A22" s="9"/>
      <c r="B22" s="7"/>
      <c r="C22" s="12"/>
      <c r="D22" s="13"/>
      <c r="E22" s="12"/>
      <c r="F22" s="13"/>
      <c r="G22" s="6"/>
      <c r="H22" s="282"/>
      <c r="I22" s="266"/>
      <c r="J22" s="6"/>
      <c r="K22" s="6"/>
      <c r="L22" s="144"/>
      <c r="M22" s="6"/>
    </row>
    <row r="23" spans="1:82" hidden="1">
      <c r="A23" s="9"/>
      <c r="B23" s="7"/>
      <c r="C23" s="12"/>
      <c r="D23" s="13"/>
      <c r="E23" s="12"/>
      <c r="F23" s="13"/>
      <c r="G23" s="6"/>
      <c r="H23" s="282"/>
      <c r="I23" s="266"/>
      <c r="J23" s="6"/>
      <c r="K23" s="6"/>
      <c r="L23" s="144"/>
      <c r="M23" s="6"/>
    </row>
    <row r="24" spans="1:82" hidden="1">
      <c r="A24" s="9"/>
      <c r="B24" s="7"/>
      <c r="C24" s="12"/>
      <c r="D24" s="13"/>
      <c r="E24" s="12"/>
      <c r="F24" s="13"/>
      <c r="G24" s="6"/>
      <c r="H24" s="282"/>
      <c r="I24" s="266"/>
      <c r="J24" s="6"/>
      <c r="K24" s="6"/>
      <c r="L24" s="144"/>
      <c r="M24" s="6"/>
    </row>
    <row r="25" spans="1:82" hidden="1">
      <c r="A25" s="9"/>
      <c r="B25" s="7"/>
      <c r="C25" s="12"/>
      <c r="D25" s="13"/>
      <c r="E25" s="12"/>
      <c r="F25" s="13"/>
      <c r="G25" s="6"/>
      <c r="H25" s="282"/>
      <c r="I25" s="266"/>
      <c r="J25" s="6"/>
      <c r="K25" s="6"/>
      <c r="L25" s="144"/>
      <c r="M25" s="6"/>
    </row>
    <row r="26" spans="1:82" hidden="1">
      <c r="A26" s="9"/>
      <c r="B26" s="7"/>
      <c r="C26" s="12"/>
      <c r="D26" s="13"/>
      <c r="E26" s="12"/>
      <c r="F26" s="13"/>
      <c r="G26" s="6"/>
      <c r="H26" s="282"/>
      <c r="I26" s="266"/>
      <c r="J26" s="6"/>
      <c r="K26" s="6"/>
      <c r="L26" s="144"/>
      <c r="M26" s="6"/>
    </row>
    <row r="27" spans="1:82" hidden="1">
      <c r="A27" s="9"/>
      <c r="B27" s="7"/>
      <c r="C27" s="12"/>
      <c r="D27" s="13"/>
      <c r="E27" s="12"/>
      <c r="F27" s="13"/>
      <c r="G27" s="6"/>
      <c r="H27" s="282"/>
      <c r="I27" s="266"/>
      <c r="J27" s="6"/>
      <c r="K27" s="6"/>
      <c r="L27" s="144"/>
      <c r="M27" s="6"/>
    </row>
    <row r="28" spans="1:82" hidden="1">
      <c r="A28" s="9"/>
      <c r="B28" s="7"/>
      <c r="C28" s="12"/>
      <c r="D28" s="13"/>
      <c r="E28" s="12"/>
      <c r="F28" s="13"/>
      <c r="G28" s="6"/>
      <c r="H28" s="282"/>
      <c r="I28" s="266"/>
      <c r="J28" s="6"/>
      <c r="K28" s="6"/>
      <c r="L28" s="144"/>
      <c r="M28" s="6"/>
    </row>
    <row r="29" spans="1:82" hidden="1">
      <c r="A29" s="9"/>
      <c r="B29" s="7"/>
      <c r="C29" s="12"/>
      <c r="D29" s="13"/>
      <c r="E29" s="12"/>
      <c r="F29" s="13"/>
      <c r="G29" s="6"/>
      <c r="H29" s="282"/>
      <c r="I29" s="266"/>
      <c r="J29" s="6"/>
      <c r="K29" s="6"/>
      <c r="L29" s="144"/>
      <c r="M29" s="6"/>
    </row>
    <row r="30" spans="1:82" hidden="1">
      <c r="A30" s="9"/>
      <c r="B30" s="7"/>
      <c r="C30" s="12"/>
      <c r="D30" s="13"/>
      <c r="E30" s="12"/>
      <c r="F30" s="13"/>
      <c r="G30" s="6"/>
      <c r="H30" s="282"/>
      <c r="I30" s="266"/>
      <c r="J30" s="6"/>
      <c r="K30" s="6"/>
      <c r="L30" s="144"/>
      <c r="M30" s="6"/>
    </row>
    <row r="31" spans="1:82" hidden="1">
      <c r="A31" s="9"/>
      <c r="B31" s="7"/>
      <c r="C31" s="12"/>
      <c r="D31" s="13"/>
      <c r="E31" s="12"/>
      <c r="F31" s="13"/>
      <c r="G31" s="6"/>
      <c r="H31" s="282"/>
      <c r="I31" s="266"/>
      <c r="J31" s="6"/>
      <c r="K31" s="6"/>
      <c r="L31" s="144"/>
      <c r="M31" s="6"/>
    </row>
    <row r="32" spans="1:82" hidden="1">
      <c r="A32" s="9"/>
      <c r="B32" s="7"/>
      <c r="C32" s="12"/>
      <c r="D32" s="13"/>
      <c r="E32" s="12"/>
      <c r="F32" s="13"/>
      <c r="G32" s="6"/>
      <c r="H32" s="282"/>
      <c r="I32" s="266"/>
      <c r="J32" s="6"/>
      <c r="K32" s="6"/>
      <c r="L32" s="144"/>
      <c r="M32" s="6"/>
    </row>
    <row r="33" spans="1:13" hidden="1">
      <c r="A33" s="9"/>
      <c r="B33" s="7"/>
      <c r="C33" s="12"/>
      <c r="D33" s="13"/>
      <c r="E33" s="12"/>
      <c r="F33" s="13"/>
      <c r="G33" s="6"/>
      <c r="H33" s="282"/>
      <c r="I33" s="266"/>
      <c r="J33" s="6"/>
      <c r="K33" s="6"/>
      <c r="L33" s="144"/>
      <c r="M33" s="6"/>
    </row>
    <row r="34" spans="1:13" hidden="1">
      <c r="A34" s="3"/>
      <c r="D34" s="5"/>
      <c r="E34" s="4"/>
      <c r="F34" s="5"/>
      <c r="G34" s="5"/>
      <c r="H34" s="283"/>
      <c r="I34" s="267"/>
      <c r="J34" s="5"/>
      <c r="K34" s="5"/>
      <c r="L34" s="145"/>
      <c r="M34" s="5"/>
    </row>
    <row r="35" spans="1:13" hidden="1">
      <c r="E35" s="4"/>
      <c r="F35" s="5"/>
      <c r="G35" s="5"/>
      <c r="H35" s="283"/>
      <c r="I35" s="267"/>
      <c r="J35" s="5"/>
      <c r="K35" s="5"/>
      <c r="L35" s="145"/>
      <c r="M35" s="5"/>
    </row>
    <row r="36" spans="1:13" hidden="1">
      <c r="E36" s="4"/>
      <c r="F36" s="5"/>
      <c r="G36" s="5"/>
      <c r="H36" s="283"/>
      <c r="I36" s="267"/>
      <c r="J36" s="5"/>
      <c r="K36" s="5"/>
      <c r="L36" s="145"/>
      <c r="M36" s="5"/>
    </row>
    <row r="37" spans="1:13" hidden="1">
      <c r="C37" s="4"/>
      <c r="D37" s="5"/>
      <c r="E37" s="4"/>
      <c r="F37" s="5"/>
      <c r="G37" s="5"/>
      <c r="H37" s="283"/>
      <c r="I37" s="267"/>
      <c r="J37" s="5"/>
      <c r="K37" s="5"/>
      <c r="L37" s="145"/>
      <c r="M37" s="5"/>
    </row>
    <row r="38" spans="1:13" hidden="1">
      <c r="C38" s="4"/>
      <c r="D38" s="5"/>
      <c r="E38" s="4"/>
      <c r="F38" s="5"/>
      <c r="G38" s="5"/>
      <c r="H38" s="283"/>
      <c r="I38" s="267"/>
      <c r="J38" s="5"/>
      <c r="K38" s="5"/>
      <c r="L38" s="145"/>
      <c r="M38" s="5"/>
    </row>
    <row r="39" spans="1:13" hidden="1">
      <c r="C39" s="4"/>
      <c r="D39" s="5"/>
      <c r="E39" s="4"/>
      <c r="F39" s="5"/>
      <c r="G39" s="5"/>
      <c r="H39" s="283"/>
      <c r="I39" s="267"/>
      <c r="J39" s="5"/>
      <c r="K39" s="5"/>
      <c r="L39" s="145"/>
      <c r="M39" s="5"/>
    </row>
    <row r="40" spans="1:13" hidden="1">
      <c r="C40" s="4"/>
      <c r="D40" s="5"/>
      <c r="E40" s="4"/>
      <c r="F40" s="5"/>
      <c r="G40" s="5"/>
      <c r="H40" s="283"/>
      <c r="I40" s="267"/>
      <c r="J40" s="5"/>
      <c r="K40" s="5"/>
      <c r="L40" s="145"/>
      <c r="M40" s="5"/>
    </row>
  </sheetData>
  <mergeCells count="712">
    <mergeCell ref="D16:D17"/>
    <mergeCell ref="C16:C17"/>
    <mergeCell ref="B16:B17"/>
    <mergeCell ref="Q16:Q17"/>
    <mergeCell ref="P16:P17"/>
    <mergeCell ref="O16:O17"/>
    <mergeCell ref="N16:N17"/>
    <mergeCell ref="M16:M17"/>
    <mergeCell ref="L16:L17"/>
    <mergeCell ref="K16:K17"/>
    <mergeCell ref="J16:J17"/>
    <mergeCell ref="E16:E17"/>
    <mergeCell ref="I16:I17"/>
    <mergeCell ref="AM16:AM17"/>
    <mergeCell ref="AL16:AL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K18:AK19"/>
    <mergeCell ref="AK2:AK3"/>
    <mergeCell ref="AK4:AK5"/>
    <mergeCell ref="AK6:AK7"/>
    <mergeCell ref="AK8:AK9"/>
    <mergeCell ref="AK10:AK11"/>
    <mergeCell ref="AK12:AK13"/>
    <mergeCell ref="BU18:BU19"/>
    <mergeCell ref="BV18:BV19"/>
    <mergeCell ref="BV12:BV13"/>
    <mergeCell ref="BR18:BR19"/>
    <mergeCell ref="BS18:BS19"/>
    <mergeCell ref="BT18:BT19"/>
    <mergeCell ref="BU2:BU3"/>
    <mergeCell ref="BV2:BV3"/>
    <mergeCell ref="BL18:BL19"/>
    <mergeCell ref="BM18:BM19"/>
    <mergeCell ref="BN18:BN19"/>
    <mergeCell ref="BO18:BO19"/>
    <mergeCell ref="BP18:BP19"/>
    <mergeCell ref="BQ18:BQ19"/>
    <mergeCell ref="BT14:BT15"/>
    <mergeCell ref="BL16:BL17"/>
    <mergeCell ref="BM16:BM17"/>
    <mergeCell ref="CC18:CC19"/>
    <mergeCell ref="CC14:CC15"/>
    <mergeCell ref="BU16:BU17"/>
    <mergeCell ref="BV16:BV17"/>
    <mergeCell ref="BW16:BW17"/>
    <mergeCell ref="BX16:BX17"/>
    <mergeCell ref="BY16:BY17"/>
    <mergeCell ref="BZ16:BZ17"/>
    <mergeCell ref="CA16:CA17"/>
    <mergeCell ref="CB16:CB17"/>
    <mergeCell ref="CC16:CC17"/>
    <mergeCell ref="BW14:BW15"/>
    <mergeCell ref="BX14:BX15"/>
    <mergeCell ref="BY14:BY15"/>
    <mergeCell ref="BZ14:BZ15"/>
    <mergeCell ref="CA14:CA15"/>
    <mergeCell ref="BU14:BU15"/>
    <mergeCell ref="BV14:BV15"/>
    <mergeCell ref="BY12:BY13"/>
    <mergeCell ref="BZ12:BZ13"/>
    <mergeCell ref="BX10:BX11"/>
    <mergeCell ref="BY10:BY11"/>
    <mergeCell ref="BZ10:BZ11"/>
    <mergeCell ref="CB14:CB15"/>
    <mergeCell ref="CA10:CA11"/>
    <mergeCell ref="CB10:CB11"/>
    <mergeCell ref="BW18:BW19"/>
    <mergeCell ref="BX18:BX19"/>
    <mergeCell ref="BY18:BY19"/>
    <mergeCell ref="BZ18:BZ19"/>
    <mergeCell ref="CA18:CA19"/>
    <mergeCell ref="CB18:CB19"/>
    <mergeCell ref="CC10:CC11"/>
    <mergeCell ref="CA12:CA13"/>
    <mergeCell ref="CB12:CB13"/>
    <mergeCell ref="CC12:CC13"/>
    <mergeCell ref="CB6:CB7"/>
    <mergeCell ref="CC6:CC7"/>
    <mergeCell ref="BU8:BU9"/>
    <mergeCell ref="BV8:BV9"/>
    <mergeCell ref="BW8:BW9"/>
    <mergeCell ref="BX8:BX9"/>
    <mergeCell ref="BY8:BY9"/>
    <mergeCell ref="BZ8:BZ9"/>
    <mergeCell ref="CA8:CA9"/>
    <mergeCell ref="CB8:CB9"/>
    <mergeCell ref="BV6:BV7"/>
    <mergeCell ref="BW6:BW7"/>
    <mergeCell ref="BX6:BX7"/>
    <mergeCell ref="BY6:BY7"/>
    <mergeCell ref="BZ6:BZ7"/>
    <mergeCell ref="CA6:CA7"/>
    <mergeCell ref="CC8:CC9"/>
    <mergeCell ref="BU12:BU13"/>
    <mergeCell ref="BW12:BW13"/>
    <mergeCell ref="BX12:BX13"/>
    <mergeCell ref="BX4:BX5"/>
    <mergeCell ref="BY4:BY5"/>
    <mergeCell ref="BZ4:BZ5"/>
    <mergeCell ref="CA4:CA5"/>
    <mergeCell ref="CB4:CB5"/>
    <mergeCell ref="CC4:CC5"/>
    <mergeCell ref="BX2:BX3"/>
    <mergeCell ref="BY2:BY3"/>
    <mergeCell ref="BZ2:BZ3"/>
    <mergeCell ref="CA2:CA3"/>
    <mergeCell ref="CB2:CB3"/>
    <mergeCell ref="CC2:CC3"/>
    <mergeCell ref="BW2:BW3"/>
    <mergeCell ref="BU4:BU5"/>
    <mergeCell ref="BV4:BV5"/>
    <mergeCell ref="BW4:BW5"/>
    <mergeCell ref="BU6:BU7"/>
    <mergeCell ref="BS12:BS13"/>
    <mergeCell ref="BT12:BT13"/>
    <mergeCell ref="BR10:BR11"/>
    <mergeCell ref="BS10:BS11"/>
    <mergeCell ref="BT10:BT11"/>
    <mergeCell ref="BT6:BT7"/>
    <mergeCell ref="BS4:BS5"/>
    <mergeCell ref="BT4:BT5"/>
    <mergeCell ref="BT2:BT3"/>
    <mergeCell ref="BU10:BU11"/>
    <mergeCell ref="BV10:BV11"/>
    <mergeCell ref="BW10:BW11"/>
    <mergeCell ref="BS16:BS17"/>
    <mergeCell ref="BT16:BT17"/>
    <mergeCell ref="BL14:BL15"/>
    <mergeCell ref="BM14:BM15"/>
    <mergeCell ref="BN14:BN15"/>
    <mergeCell ref="BO14:BO15"/>
    <mergeCell ref="BP14:BP15"/>
    <mergeCell ref="BQ14:BQ15"/>
    <mergeCell ref="BR14:BR15"/>
    <mergeCell ref="BS14:BS15"/>
    <mergeCell ref="BS8:BS9"/>
    <mergeCell ref="BT8:BT9"/>
    <mergeCell ref="BL12:BL13"/>
    <mergeCell ref="BM12:BM13"/>
    <mergeCell ref="BN12:BN13"/>
    <mergeCell ref="BO12:BO13"/>
    <mergeCell ref="BP12:BP13"/>
    <mergeCell ref="BQ12:BQ13"/>
    <mergeCell ref="BR12:BR13"/>
    <mergeCell ref="BL10:BL11"/>
    <mergeCell ref="BM10:BM11"/>
    <mergeCell ref="BN10:BN11"/>
    <mergeCell ref="BO10:BO11"/>
    <mergeCell ref="BP10:BP11"/>
    <mergeCell ref="BQ10:BQ11"/>
    <mergeCell ref="BS6:BS7"/>
    <mergeCell ref="BR2:BR3"/>
    <mergeCell ref="BS2:BS3"/>
    <mergeCell ref="BL4:BL5"/>
    <mergeCell ref="BM4:BM5"/>
    <mergeCell ref="BN4:BN5"/>
    <mergeCell ref="BO4:BO5"/>
    <mergeCell ref="BP4:BP5"/>
    <mergeCell ref="BQ4:BQ5"/>
    <mergeCell ref="BR4:BR5"/>
    <mergeCell ref="BL2:BL3"/>
    <mergeCell ref="BM2:BM3"/>
    <mergeCell ref="BN2:BN3"/>
    <mergeCell ref="BO2:BO3"/>
    <mergeCell ref="BP2:BP3"/>
    <mergeCell ref="BQ2:BQ3"/>
    <mergeCell ref="BJ18:BJ19"/>
    <mergeCell ref="BK18:BK19"/>
    <mergeCell ref="BL6:BL7"/>
    <mergeCell ref="BM6:BM7"/>
    <mergeCell ref="BN6:BN7"/>
    <mergeCell ref="BO6:BO7"/>
    <mergeCell ref="BP6:BP7"/>
    <mergeCell ref="BQ6:BQ7"/>
    <mergeCell ref="BR6:BR7"/>
    <mergeCell ref="BL8:BL9"/>
    <mergeCell ref="BM8:BM9"/>
    <mergeCell ref="BN8:BN9"/>
    <mergeCell ref="BO8:BO9"/>
    <mergeCell ref="BP8:BP9"/>
    <mergeCell ref="BQ8:BQ9"/>
    <mergeCell ref="BR8:BR9"/>
    <mergeCell ref="BN16:BN17"/>
    <mergeCell ref="BO16:BO17"/>
    <mergeCell ref="BP16:BP17"/>
    <mergeCell ref="BQ16:BQ17"/>
    <mergeCell ref="BR16:BR17"/>
    <mergeCell ref="BK16:BK17"/>
    <mergeCell ref="BJ16:BJ17"/>
    <mergeCell ref="BE14:BE15"/>
    <mergeCell ref="BF14:BF15"/>
    <mergeCell ref="BG14:BG15"/>
    <mergeCell ref="BH14:BH15"/>
    <mergeCell ref="BI14:BI15"/>
    <mergeCell ref="BF12:BF13"/>
    <mergeCell ref="BG12:BG13"/>
    <mergeCell ref="BH12:BH13"/>
    <mergeCell ref="BC18:BC19"/>
    <mergeCell ref="BD18:BD19"/>
    <mergeCell ref="BE18:BE19"/>
    <mergeCell ref="BF18:BF19"/>
    <mergeCell ref="BG18:BG19"/>
    <mergeCell ref="BH18:BH19"/>
    <mergeCell ref="BI18:BI19"/>
    <mergeCell ref="BI16:BI17"/>
    <mergeCell ref="BH16:BH17"/>
    <mergeCell ref="BG16:BG17"/>
    <mergeCell ref="BF16:BF17"/>
    <mergeCell ref="BE16:BE17"/>
    <mergeCell ref="BD16:BD17"/>
    <mergeCell ref="BC16:BC17"/>
    <mergeCell ref="BI6:BI7"/>
    <mergeCell ref="BK8:BK9"/>
    <mergeCell ref="BF10:BF11"/>
    <mergeCell ref="BG10:BG11"/>
    <mergeCell ref="BH10:BH11"/>
    <mergeCell ref="BJ14:BJ15"/>
    <mergeCell ref="BI10:BI11"/>
    <mergeCell ref="BJ10:BJ11"/>
    <mergeCell ref="BK10:BK11"/>
    <mergeCell ref="BI12:BI13"/>
    <mergeCell ref="BJ12:BJ13"/>
    <mergeCell ref="BK12:BK13"/>
    <mergeCell ref="BK14:BK15"/>
    <mergeCell ref="BC12:BC13"/>
    <mergeCell ref="BD12:BD13"/>
    <mergeCell ref="BE12:BE13"/>
    <mergeCell ref="BF4:BF5"/>
    <mergeCell ref="BG4:BG5"/>
    <mergeCell ref="BH4:BH5"/>
    <mergeCell ref="BI4:BI5"/>
    <mergeCell ref="BJ4:BJ5"/>
    <mergeCell ref="BK4:BK5"/>
    <mergeCell ref="BJ6:BJ7"/>
    <mergeCell ref="BK6:BK7"/>
    <mergeCell ref="BC8:BC9"/>
    <mergeCell ref="BD8:BD9"/>
    <mergeCell ref="BE8:BE9"/>
    <mergeCell ref="BF8:BF9"/>
    <mergeCell ref="BG8:BG9"/>
    <mergeCell ref="BH8:BH9"/>
    <mergeCell ref="BI8:BI9"/>
    <mergeCell ref="BJ8:BJ9"/>
    <mergeCell ref="BD6:BD7"/>
    <mergeCell ref="BE6:BE7"/>
    <mergeCell ref="BF6:BF7"/>
    <mergeCell ref="BG6:BG7"/>
    <mergeCell ref="BH6:BH7"/>
    <mergeCell ref="BF2:BF3"/>
    <mergeCell ref="BG2:BG3"/>
    <mergeCell ref="BH2:BH3"/>
    <mergeCell ref="BI2:BI3"/>
    <mergeCell ref="BJ2:BJ3"/>
    <mergeCell ref="BK2:BK3"/>
    <mergeCell ref="AZ18:AZ19"/>
    <mergeCell ref="BA18:BA19"/>
    <mergeCell ref="BB18:BB19"/>
    <mergeCell ref="BC2:BC3"/>
    <mergeCell ref="BD2:BD3"/>
    <mergeCell ref="BE2:BE3"/>
    <mergeCell ref="BC4:BC5"/>
    <mergeCell ref="BD4:BD5"/>
    <mergeCell ref="BE4:BE5"/>
    <mergeCell ref="BC6:BC7"/>
    <mergeCell ref="BA12:BA13"/>
    <mergeCell ref="BB12:BB13"/>
    <mergeCell ref="AZ10:AZ11"/>
    <mergeCell ref="BA10:BA11"/>
    <mergeCell ref="BB10:BB11"/>
    <mergeCell ref="BB6:BB7"/>
    <mergeCell ref="BA4:BA5"/>
    <mergeCell ref="BB4:BB5"/>
    <mergeCell ref="BB2:BB3"/>
    <mergeCell ref="BC10:BC11"/>
    <mergeCell ref="BD10:BD11"/>
    <mergeCell ref="BE10:BE11"/>
    <mergeCell ref="BC14:BC15"/>
    <mergeCell ref="BD14:BD15"/>
    <mergeCell ref="AT18:AT19"/>
    <mergeCell ref="AU18:AU19"/>
    <mergeCell ref="AV18:AV19"/>
    <mergeCell ref="AW18:AW19"/>
    <mergeCell ref="AX18:AX19"/>
    <mergeCell ref="AY18:AY19"/>
    <mergeCell ref="BB14:BB15"/>
    <mergeCell ref="AT16:AT17"/>
    <mergeCell ref="AU16:AU17"/>
    <mergeCell ref="AV16:AV17"/>
    <mergeCell ref="AW16:AW17"/>
    <mergeCell ref="AX16:AX17"/>
    <mergeCell ref="AY16:AY17"/>
    <mergeCell ref="AZ16:AZ17"/>
    <mergeCell ref="BA16:BA17"/>
    <mergeCell ref="BB16:BB17"/>
    <mergeCell ref="AT14:AT15"/>
    <mergeCell ref="AU14:AU15"/>
    <mergeCell ref="AV14:AV15"/>
    <mergeCell ref="AW14:AW15"/>
    <mergeCell ref="AX14:AX15"/>
    <mergeCell ref="AY14:AY15"/>
    <mergeCell ref="AZ14:AZ15"/>
    <mergeCell ref="BA14:BA15"/>
    <mergeCell ref="AT12:AT13"/>
    <mergeCell ref="AU12:AU13"/>
    <mergeCell ref="AV12:AV13"/>
    <mergeCell ref="AW12:AW13"/>
    <mergeCell ref="AX12:AX13"/>
    <mergeCell ref="AY12:AY13"/>
    <mergeCell ref="AZ12:AZ13"/>
    <mergeCell ref="AT10:AT11"/>
    <mergeCell ref="AU10:AU11"/>
    <mergeCell ref="AV10:AV11"/>
    <mergeCell ref="AW10:AW11"/>
    <mergeCell ref="AX10:AX11"/>
    <mergeCell ref="AY10:AY11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AT6:AT7"/>
    <mergeCell ref="AU6:AU7"/>
    <mergeCell ref="AV6:AV7"/>
    <mergeCell ref="AW6:AW7"/>
    <mergeCell ref="AX6:AX7"/>
    <mergeCell ref="AY6:AY7"/>
    <mergeCell ref="AZ6:AZ7"/>
    <mergeCell ref="BA6:BA7"/>
    <mergeCell ref="AZ2:AZ3"/>
    <mergeCell ref="BA2:BA3"/>
    <mergeCell ref="AT4:AT5"/>
    <mergeCell ref="AU4:AU5"/>
    <mergeCell ref="AV4:AV5"/>
    <mergeCell ref="AW4:AW5"/>
    <mergeCell ref="AX4:AX5"/>
    <mergeCell ref="AY4:AY5"/>
    <mergeCell ref="AZ4:AZ5"/>
    <mergeCell ref="AT2:AT3"/>
    <mergeCell ref="AU2:AU3"/>
    <mergeCell ref="AV2:AV3"/>
    <mergeCell ref="AW2:AW3"/>
    <mergeCell ref="AX2:AX3"/>
    <mergeCell ref="AY2:AY3"/>
    <mergeCell ref="AN18:AN19"/>
    <mergeCell ref="AO18:AO19"/>
    <mergeCell ref="AP18:AP19"/>
    <mergeCell ref="AQ18:AQ19"/>
    <mergeCell ref="AR18:AR19"/>
    <mergeCell ref="AS18:AS19"/>
    <mergeCell ref="AQ12:AQ13"/>
    <mergeCell ref="AR12:AR13"/>
    <mergeCell ref="AS12:AS13"/>
    <mergeCell ref="AR14:AR15"/>
    <mergeCell ref="AS14:AS15"/>
    <mergeCell ref="AS16:AS17"/>
    <mergeCell ref="AR16:AR17"/>
    <mergeCell ref="AQ16:AQ17"/>
    <mergeCell ref="AP16:AP17"/>
    <mergeCell ref="AO16:AO17"/>
    <mergeCell ref="AN16:AN17"/>
    <mergeCell ref="AL14:AL15"/>
    <mergeCell ref="AM14:AM15"/>
    <mergeCell ref="AN14:AN15"/>
    <mergeCell ref="AO14:AO15"/>
    <mergeCell ref="AP14:AP15"/>
    <mergeCell ref="AQ14:AQ15"/>
    <mergeCell ref="AL12:AL13"/>
    <mergeCell ref="AM12:AM13"/>
    <mergeCell ref="AN12:AN13"/>
    <mergeCell ref="AO12:AO13"/>
    <mergeCell ref="AP12:AP13"/>
    <mergeCell ref="AN10:AN11"/>
    <mergeCell ref="AO10:AO11"/>
    <mergeCell ref="AP10:AP11"/>
    <mergeCell ref="AQ10:AQ11"/>
    <mergeCell ref="AR10:AR11"/>
    <mergeCell ref="AS10:AS11"/>
    <mergeCell ref="AR6:AR7"/>
    <mergeCell ref="AS6:AS7"/>
    <mergeCell ref="AL8:AL9"/>
    <mergeCell ref="AM8:AM9"/>
    <mergeCell ref="AN8:AN9"/>
    <mergeCell ref="AO8:AO9"/>
    <mergeCell ref="AP8:AP9"/>
    <mergeCell ref="AQ8:AQ9"/>
    <mergeCell ref="AR8:AR9"/>
    <mergeCell ref="AL6:AL7"/>
    <mergeCell ref="AM6:AM7"/>
    <mergeCell ref="AN6:AN7"/>
    <mergeCell ref="AO6:AO7"/>
    <mergeCell ref="AP6:AP7"/>
    <mergeCell ref="AQ6:AQ7"/>
    <mergeCell ref="AS8:AS9"/>
    <mergeCell ref="AN4:AN5"/>
    <mergeCell ref="AO4:AO5"/>
    <mergeCell ref="AP4:AP5"/>
    <mergeCell ref="AQ4:AQ5"/>
    <mergeCell ref="AR4:AR5"/>
    <mergeCell ref="AS4:AS5"/>
    <mergeCell ref="AN2:AN3"/>
    <mergeCell ref="AO2:AO3"/>
    <mergeCell ref="AP2:AP3"/>
    <mergeCell ref="AQ2:AQ3"/>
    <mergeCell ref="AR2:AR3"/>
    <mergeCell ref="AS2:AS3"/>
    <mergeCell ref="AH18:AH19"/>
    <mergeCell ref="AI18:AI19"/>
    <mergeCell ref="AJ18:AJ19"/>
    <mergeCell ref="AL2:AL3"/>
    <mergeCell ref="AM2:AM3"/>
    <mergeCell ref="AL4:AL5"/>
    <mergeCell ref="AM4:AM5"/>
    <mergeCell ref="AI12:AI13"/>
    <mergeCell ref="AJ12:AJ13"/>
    <mergeCell ref="AH10:AH11"/>
    <mergeCell ref="AI10:AI11"/>
    <mergeCell ref="AJ10:AJ11"/>
    <mergeCell ref="AJ6:AJ7"/>
    <mergeCell ref="AI4:AI5"/>
    <mergeCell ref="AJ4:AJ5"/>
    <mergeCell ref="AJ2:AJ3"/>
    <mergeCell ref="AI2:AI3"/>
    <mergeCell ref="AI6:AI7"/>
    <mergeCell ref="AL10:AL11"/>
    <mergeCell ref="AM10:AM11"/>
    <mergeCell ref="AL18:AL19"/>
    <mergeCell ref="AM18:AM19"/>
    <mergeCell ref="AK14:AK15"/>
    <mergeCell ref="AK16:AK17"/>
    <mergeCell ref="AB18:AB19"/>
    <mergeCell ref="AC18:AC19"/>
    <mergeCell ref="AD18:AD19"/>
    <mergeCell ref="AE18:AE19"/>
    <mergeCell ref="AF18:AF19"/>
    <mergeCell ref="AG18:AG19"/>
    <mergeCell ref="AJ14:AJ15"/>
    <mergeCell ref="AB16:AB17"/>
    <mergeCell ref="AC16:AC17"/>
    <mergeCell ref="AD16:AD17"/>
    <mergeCell ref="AE16:AE17"/>
    <mergeCell ref="AF16:AF17"/>
    <mergeCell ref="AG16:AG17"/>
    <mergeCell ref="AH16:AH17"/>
    <mergeCell ref="AI16:AI17"/>
    <mergeCell ref="AJ16:AJ17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B12:AB13"/>
    <mergeCell ref="AC12:AC13"/>
    <mergeCell ref="AD12:AD13"/>
    <mergeCell ref="AE12:AE13"/>
    <mergeCell ref="AF12:AF13"/>
    <mergeCell ref="AG12:AG13"/>
    <mergeCell ref="AH12:AH13"/>
    <mergeCell ref="AB10:AB11"/>
    <mergeCell ref="AC10:AC11"/>
    <mergeCell ref="AD10:AD11"/>
    <mergeCell ref="AE10:AE11"/>
    <mergeCell ref="AF10:AF11"/>
    <mergeCell ref="AG10:AG11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B6:AB7"/>
    <mergeCell ref="AC6:AC7"/>
    <mergeCell ref="AD6:AD7"/>
    <mergeCell ref="AE6:AE7"/>
    <mergeCell ref="AF6:AF7"/>
    <mergeCell ref="AG6:AG7"/>
    <mergeCell ref="AH6:AH7"/>
    <mergeCell ref="AH2:AH3"/>
    <mergeCell ref="AB4:AB5"/>
    <mergeCell ref="AC4:AC5"/>
    <mergeCell ref="AD4:AD5"/>
    <mergeCell ref="AE4:AE5"/>
    <mergeCell ref="AF4:AF5"/>
    <mergeCell ref="AG4:AG5"/>
    <mergeCell ref="AH4:AH5"/>
    <mergeCell ref="AB2:AB3"/>
    <mergeCell ref="AC2:AC3"/>
    <mergeCell ref="AD2:AD3"/>
    <mergeCell ref="AE2:AE3"/>
    <mergeCell ref="AF2:AF3"/>
    <mergeCell ref="AG2:AG3"/>
    <mergeCell ref="S18:S19"/>
    <mergeCell ref="T18:T19"/>
    <mergeCell ref="U18:U19"/>
    <mergeCell ref="V18:V19"/>
    <mergeCell ref="W18:W19"/>
    <mergeCell ref="X18:X19"/>
    <mergeCell ref="Y18:Y19"/>
    <mergeCell ref="Z18:Z19"/>
    <mergeCell ref="AA18:AA19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W8:W9"/>
    <mergeCell ref="X8:X9"/>
    <mergeCell ref="Y8:Y9"/>
    <mergeCell ref="Z8:Z9"/>
    <mergeCell ref="AA8:AA9"/>
    <mergeCell ref="S10:S11"/>
    <mergeCell ref="T10:T11"/>
    <mergeCell ref="U10:U11"/>
    <mergeCell ref="V10:V11"/>
    <mergeCell ref="W10:W11"/>
    <mergeCell ref="S8:S9"/>
    <mergeCell ref="T8:T9"/>
    <mergeCell ref="U8:U9"/>
    <mergeCell ref="V8:V9"/>
    <mergeCell ref="X10:X11"/>
    <mergeCell ref="Y10:Y11"/>
    <mergeCell ref="Z10:Z11"/>
    <mergeCell ref="AA10:AA11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Z2:Z3"/>
    <mergeCell ref="AA2:AA3"/>
    <mergeCell ref="S4:S5"/>
    <mergeCell ref="T4:T5"/>
    <mergeCell ref="U4:U5"/>
    <mergeCell ref="V4:V5"/>
    <mergeCell ref="W4:W5"/>
    <mergeCell ref="X4:X5"/>
    <mergeCell ref="Y4:Y5"/>
    <mergeCell ref="Z4:Z5"/>
    <mergeCell ref="S2:S3"/>
    <mergeCell ref="T2:T3"/>
    <mergeCell ref="U2:U3"/>
    <mergeCell ref="V2:V3"/>
    <mergeCell ref="W2:W3"/>
    <mergeCell ref="X2:X3"/>
    <mergeCell ref="Y2:Y3"/>
    <mergeCell ref="AA4:AA5"/>
    <mergeCell ref="N18:N19"/>
    <mergeCell ref="O18:O19"/>
    <mergeCell ref="P18:P19"/>
    <mergeCell ref="Q18:Q19"/>
    <mergeCell ref="R18:R19"/>
    <mergeCell ref="N14:N15"/>
    <mergeCell ref="O14:O15"/>
    <mergeCell ref="P14:P15"/>
    <mergeCell ref="Q14:Q15"/>
    <mergeCell ref="R14:R15"/>
    <mergeCell ref="N12:N13"/>
    <mergeCell ref="O12:O13"/>
    <mergeCell ref="P12:P13"/>
    <mergeCell ref="Q12:Q13"/>
    <mergeCell ref="R12:R13"/>
    <mergeCell ref="Q4:Q5"/>
    <mergeCell ref="R4:R5"/>
    <mergeCell ref="M10:M11"/>
    <mergeCell ref="N10:N11"/>
    <mergeCell ref="O10:O11"/>
    <mergeCell ref="P10:P11"/>
    <mergeCell ref="Q10:Q11"/>
    <mergeCell ref="R10:R11"/>
    <mergeCell ref="M8:M9"/>
    <mergeCell ref="N8:N9"/>
    <mergeCell ref="O8:O9"/>
    <mergeCell ref="P8:P9"/>
    <mergeCell ref="Q8:Q9"/>
    <mergeCell ref="R8:R9"/>
    <mergeCell ref="N2:N3"/>
    <mergeCell ref="O2:O3"/>
    <mergeCell ref="P2:P3"/>
    <mergeCell ref="Q2:Q3"/>
    <mergeCell ref="R2:R3"/>
    <mergeCell ref="J8:J9"/>
    <mergeCell ref="K8:K9"/>
    <mergeCell ref="L8:L9"/>
    <mergeCell ref="J10:J11"/>
    <mergeCell ref="K10:K11"/>
    <mergeCell ref="L10:L11"/>
    <mergeCell ref="M6:M7"/>
    <mergeCell ref="N6:N7"/>
    <mergeCell ref="O6:O7"/>
    <mergeCell ref="P6:P7"/>
    <mergeCell ref="Q6:Q7"/>
    <mergeCell ref="R6:R7"/>
    <mergeCell ref="M4:M5"/>
    <mergeCell ref="N4:N5"/>
    <mergeCell ref="O4:O5"/>
    <mergeCell ref="P4:P5"/>
    <mergeCell ref="K18:K19"/>
    <mergeCell ref="L18:L19"/>
    <mergeCell ref="J12:J13"/>
    <mergeCell ref="K12:K13"/>
    <mergeCell ref="L12:L13"/>
    <mergeCell ref="J14:J15"/>
    <mergeCell ref="K14:K15"/>
    <mergeCell ref="L14:L15"/>
    <mergeCell ref="M2:M3"/>
    <mergeCell ref="M14:M15"/>
    <mergeCell ref="M18:M19"/>
    <mergeCell ref="K2:K3"/>
    <mergeCell ref="L2:L3"/>
    <mergeCell ref="J4:J5"/>
    <mergeCell ref="K4:K5"/>
    <mergeCell ref="L4:L5"/>
    <mergeCell ref="J6:J7"/>
    <mergeCell ref="K6:K7"/>
    <mergeCell ref="L6:L7"/>
    <mergeCell ref="J2:J3"/>
    <mergeCell ref="J18:J19"/>
    <mergeCell ref="M12:M13"/>
    <mergeCell ref="I2:I3"/>
    <mergeCell ref="I4:I5"/>
    <mergeCell ref="I6:I7"/>
    <mergeCell ref="I8:I9"/>
    <mergeCell ref="I10:I11"/>
    <mergeCell ref="I12:I13"/>
    <mergeCell ref="I14:I15"/>
    <mergeCell ref="H18:H19"/>
    <mergeCell ref="I18:I19"/>
    <mergeCell ref="H2:H3"/>
    <mergeCell ref="H4:H5"/>
    <mergeCell ref="H6:H7"/>
    <mergeCell ref="H8:H9"/>
    <mergeCell ref="H10:H11"/>
    <mergeCell ref="H12:H13"/>
    <mergeCell ref="H14:H15"/>
    <mergeCell ref="H16:H17"/>
    <mergeCell ref="C14:C15"/>
    <mergeCell ref="D14:D15"/>
    <mergeCell ref="E14:E15"/>
    <mergeCell ref="B10:B11"/>
    <mergeCell ref="C10:C11"/>
    <mergeCell ref="D10:D11"/>
    <mergeCell ref="E10:E11"/>
    <mergeCell ref="B12:B13"/>
    <mergeCell ref="C12:C13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A2:A20"/>
    <mergeCell ref="B2:B3"/>
    <mergeCell ref="C2:C3"/>
    <mergeCell ref="D2:D3"/>
    <mergeCell ref="E2:E3"/>
    <mergeCell ref="B4:B5"/>
    <mergeCell ref="C4:C5"/>
    <mergeCell ref="D4:D5"/>
    <mergeCell ref="E4:E5"/>
    <mergeCell ref="B6:B7"/>
    <mergeCell ref="D12:D13"/>
    <mergeCell ref="E12:E13"/>
    <mergeCell ref="C6:C7"/>
    <mergeCell ref="D6:D7"/>
    <mergeCell ref="E6:E7"/>
    <mergeCell ref="B8:B9"/>
    <mergeCell ref="C8:C9"/>
    <mergeCell ref="D8:D9"/>
    <mergeCell ref="E8:E9"/>
    <mergeCell ref="B18:B19"/>
    <mergeCell ref="C18:C19"/>
    <mergeCell ref="D18:D19"/>
    <mergeCell ref="E18:E19"/>
    <mergeCell ref="B14:B15"/>
  </mergeCells>
  <conditionalFormatting sqref="I2:I20">
    <cfRule type="cellIs" dxfId="159" priority="215" operator="equal">
      <formula>"Marks Uploaded in Excel"</formula>
    </cfRule>
    <cfRule type="cellIs" dxfId="158" priority="216" operator="equal">
      <formula>"Marking Complete"</formula>
    </cfRule>
    <cfRule type="cellIs" dxfId="157" priority="217" operator="equal">
      <formula>"Evaluation Taken"</formula>
    </cfRule>
    <cfRule type="cellIs" dxfId="156" priority="218" operator="equal">
      <formula>"Scheduled"</formula>
    </cfRule>
  </conditionalFormatting>
  <conditionalFormatting sqref="L2:L20">
    <cfRule type="cellIs" dxfId="155" priority="93" operator="equal">
      <formula>"Marks Uploaded in Excel"</formula>
    </cfRule>
    <cfRule type="cellIs" dxfId="154" priority="94" operator="equal">
      <formula>"Marking Complete"</formula>
    </cfRule>
    <cfRule type="cellIs" dxfId="153" priority="95" operator="equal">
      <formula>"Evaluation Taken"</formula>
    </cfRule>
    <cfRule type="cellIs" dxfId="152" priority="96" operator="equal">
      <formula>"Scheduled"</formula>
    </cfRule>
  </conditionalFormatting>
  <conditionalFormatting sqref="O2:O20">
    <cfRule type="cellIs" dxfId="151" priority="89" operator="equal">
      <formula>"Marks Uploaded in Excel"</formula>
    </cfRule>
    <cfRule type="cellIs" dxfId="150" priority="90" operator="equal">
      <formula>"Marking Complete"</formula>
    </cfRule>
    <cfRule type="cellIs" dxfId="149" priority="91" operator="equal">
      <formula>"Evaluation Taken"</formula>
    </cfRule>
    <cfRule type="cellIs" dxfId="148" priority="92" operator="equal">
      <formula>"Scheduled"</formula>
    </cfRule>
  </conditionalFormatting>
  <conditionalFormatting sqref="R2:R20">
    <cfRule type="cellIs" dxfId="147" priority="85" operator="equal">
      <formula>"Marks Uploaded in Excel"</formula>
    </cfRule>
    <cfRule type="cellIs" dxfId="146" priority="86" operator="equal">
      <formula>"Marking Complete"</formula>
    </cfRule>
    <cfRule type="cellIs" dxfId="145" priority="87" operator="equal">
      <formula>"Evaluation Taken"</formula>
    </cfRule>
    <cfRule type="cellIs" dxfId="144" priority="88" operator="equal">
      <formula>"Scheduled"</formula>
    </cfRule>
  </conditionalFormatting>
  <conditionalFormatting sqref="U2:U20">
    <cfRule type="cellIs" dxfId="143" priority="81" operator="equal">
      <formula>"Marks Uploaded in Excel"</formula>
    </cfRule>
    <cfRule type="cellIs" dxfId="142" priority="82" operator="equal">
      <formula>"Marking Complete"</formula>
    </cfRule>
    <cfRule type="cellIs" dxfId="141" priority="83" operator="equal">
      <formula>"Evaluation Taken"</formula>
    </cfRule>
    <cfRule type="cellIs" dxfId="140" priority="84" operator="equal">
      <formula>"Scheduled"</formula>
    </cfRule>
  </conditionalFormatting>
  <conditionalFormatting sqref="X2:X20">
    <cfRule type="cellIs" dxfId="139" priority="77" operator="equal">
      <formula>"Marks Uploaded in Excel"</formula>
    </cfRule>
    <cfRule type="cellIs" dxfId="138" priority="78" operator="equal">
      <formula>"Marking Complete"</formula>
    </cfRule>
    <cfRule type="cellIs" dxfId="137" priority="79" operator="equal">
      <formula>"Evaluation Taken"</formula>
    </cfRule>
    <cfRule type="cellIs" dxfId="136" priority="80" operator="equal">
      <formula>"Scheduled"</formula>
    </cfRule>
  </conditionalFormatting>
  <conditionalFormatting sqref="AA2:AA20">
    <cfRule type="cellIs" dxfId="135" priority="73" operator="equal">
      <formula>"Marks Uploaded in Excel"</formula>
    </cfRule>
    <cfRule type="cellIs" dxfId="134" priority="74" operator="equal">
      <formula>"Marking Complete"</formula>
    </cfRule>
    <cfRule type="cellIs" dxfId="133" priority="75" operator="equal">
      <formula>"Evaluation Taken"</formula>
    </cfRule>
    <cfRule type="cellIs" dxfId="132" priority="76" operator="equal">
      <formula>"Scheduled"</formula>
    </cfRule>
  </conditionalFormatting>
  <conditionalFormatting sqref="AD2:AD20">
    <cfRule type="cellIs" dxfId="131" priority="69" operator="equal">
      <formula>"Marks Uploaded in Excel"</formula>
    </cfRule>
    <cfRule type="cellIs" dxfId="130" priority="70" operator="equal">
      <formula>"Marking Complete"</formula>
    </cfRule>
    <cfRule type="cellIs" dxfId="129" priority="71" operator="equal">
      <formula>"Evaluation Taken"</formula>
    </cfRule>
    <cfRule type="cellIs" dxfId="128" priority="72" operator="equal">
      <formula>"Scheduled"</formula>
    </cfRule>
  </conditionalFormatting>
  <conditionalFormatting sqref="AG2:AG20">
    <cfRule type="cellIs" dxfId="127" priority="65" operator="equal">
      <formula>"Marks Uploaded in Excel"</formula>
    </cfRule>
    <cfRule type="cellIs" dxfId="126" priority="66" operator="equal">
      <formula>"Marking Complete"</formula>
    </cfRule>
    <cfRule type="cellIs" dxfId="125" priority="67" operator="equal">
      <formula>"Evaluation Taken"</formula>
    </cfRule>
    <cfRule type="cellIs" dxfId="124" priority="68" operator="equal">
      <formula>"Scheduled"</formula>
    </cfRule>
  </conditionalFormatting>
  <conditionalFormatting sqref="AJ2:AJ20">
    <cfRule type="cellIs" dxfId="123" priority="61" operator="equal">
      <formula>"Marks Uploaded in Excel"</formula>
    </cfRule>
    <cfRule type="cellIs" dxfId="122" priority="62" operator="equal">
      <formula>"Marking Complete"</formula>
    </cfRule>
    <cfRule type="cellIs" dxfId="121" priority="63" operator="equal">
      <formula>"Evaluation Taken"</formula>
    </cfRule>
    <cfRule type="cellIs" dxfId="120" priority="64" operator="equal">
      <formula>"Scheduled"</formula>
    </cfRule>
  </conditionalFormatting>
  <conditionalFormatting sqref="AM2:AM20">
    <cfRule type="cellIs" dxfId="119" priority="57" operator="equal">
      <formula>"Marks Uploaded in Excel"</formula>
    </cfRule>
    <cfRule type="cellIs" dxfId="118" priority="58" operator="equal">
      <formula>"Marking Complete"</formula>
    </cfRule>
    <cfRule type="cellIs" dxfId="117" priority="59" operator="equal">
      <formula>"Evaluation Taken"</formula>
    </cfRule>
    <cfRule type="cellIs" dxfId="116" priority="60" operator="equal">
      <formula>"Scheduled"</formula>
    </cfRule>
  </conditionalFormatting>
  <conditionalFormatting sqref="AP2:AP20">
    <cfRule type="cellIs" dxfId="115" priority="53" operator="equal">
      <formula>"Marks Uploaded in Excel"</formula>
    </cfRule>
    <cfRule type="cellIs" dxfId="114" priority="54" operator="equal">
      <formula>"Marking Complete"</formula>
    </cfRule>
    <cfRule type="cellIs" dxfId="113" priority="55" operator="equal">
      <formula>"Evaluation Taken"</formula>
    </cfRule>
    <cfRule type="cellIs" dxfId="112" priority="56" operator="equal">
      <formula>"Scheduled"</formula>
    </cfRule>
  </conditionalFormatting>
  <conditionalFormatting sqref="AS2:AS20">
    <cfRule type="cellIs" dxfId="111" priority="49" operator="equal">
      <formula>"Marks Uploaded in Excel"</formula>
    </cfRule>
    <cfRule type="cellIs" dxfId="110" priority="50" operator="equal">
      <formula>"Marking Complete"</formula>
    </cfRule>
    <cfRule type="cellIs" dxfId="109" priority="51" operator="equal">
      <formula>"Evaluation Taken"</formula>
    </cfRule>
    <cfRule type="cellIs" dxfId="108" priority="52" operator="equal">
      <formula>"Scheduled"</formula>
    </cfRule>
  </conditionalFormatting>
  <conditionalFormatting sqref="AV2:AV20">
    <cfRule type="cellIs" dxfId="107" priority="45" operator="equal">
      <formula>"Marks Uploaded in Excel"</formula>
    </cfRule>
    <cfRule type="cellIs" dxfId="106" priority="46" operator="equal">
      <formula>"Marking Complete"</formula>
    </cfRule>
    <cfRule type="cellIs" dxfId="105" priority="47" operator="equal">
      <formula>"Evaluation Taken"</formula>
    </cfRule>
    <cfRule type="cellIs" dxfId="104" priority="48" operator="equal">
      <formula>"Scheduled"</formula>
    </cfRule>
  </conditionalFormatting>
  <conditionalFormatting sqref="AY2:AY20">
    <cfRule type="cellIs" dxfId="103" priority="41" operator="equal">
      <formula>"Marks Uploaded in Excel"</formula>
    </cfRule>
    <cfRule type="cellIs" dxfId="102" priority="42" operator="equal">
      <formula>"Marking Complete"</formula>
    </cfRule>
    <cfRule type="cellIs" dxfId="101" priority="43" operator="equal">
      <formula>"Evaluation Taken"</formula>
    </cfRule>
    <cfRule type="cellIs" dxfId="100" priority="44" operator="equal">
      <formula>"Scheduled"</formula>
    </cfRule>
  </conditionalFormatting>
  <conditionalFormatting sqref="BB2:BB20">
    <cfRule type="cellIs" dxfId="99" priority="37" operator="equal">
      <formula>"Marks Uploaded in Excel"</formula>
    </cfRule>
    <cfRule type="cellIs" dxfId="98" priority="38" operator="equal">
      <formula>"Marking Complete"</formula>
    </cfRule>
    <cfRule type="cellIs" dxfId="97" priority="39" operator="equal">
      <formula>"Evaluation Taken"</formula>
    </cfRule>
    <cfRule type="cellIs" dxfId="96" priority="40" operator="equal">
      <formula>"Scheduled"</formula>
    </cfRule>
  </conditionalFormatting>
  <conditionalFormatting sqref="BE2:BE20">
    <cfRule type="cellIs" dxfId="95" priority="33" operator="equal">
      <formula>"Marks Uploaded in Excel"</formula>
    </cfRule>
    <cfRule type="cellIs" dxfId="94" priority="34" operator="equal">
      <formula>"Marking Complete"</formula>
    </cfRule>
    <cfRule type="cellIs" dxfId="93" priority="35" operator="equal">
      <formula>"Evaluation Taken"</formula>
    </cfRule>
    <cfRule type="cellIs" dxfId="92" priority="36" operator="equal">
      <formula>"Scheduled"</formula>
    </cfRule>
  </conditionalFormatting>
  <conditionalFormatting sqref="BH2:BH20">
    <cfRule type="cellIs" dxfId="91" priority="29" operator="equal">
      <formula>"Marks Uploaded in Excel"</formula>
    </cfRule>
    <cfRule type="cellIs" dxfId="90" priority="30" operator="equal">
      <formula>"Marking Complete"</formula>
    </cfRule>
    <cfRule type="cellIs" dxfId="89" priority="31" operator="equal">
      <formula>"Evaluation Taken"</formula>
    </cfRule>
    <cfRule type="cellIs" dxfId="88" priority="32" operator="equal">
      <formula>"Scheduled"</formula>
    </cfRule>
  </conditionalFormatting>
  <conditionalFormatting sqref="BK2:BK20">
    <cfRule type="cellIs" dxfId="87" priority="25" operator="equal">
      <formula>"Marks Uploaded in Excel"</formula>
    </cfRule>
    <cfRule type="cellIs" dxfId="86" priority="26" operator="equal">
      <formula>"Marking Complete"</formula>
    </cfRule>
    <cfRule type="cellIs" dxfId="85" priority="27" operator="equal">
      <formula>"Evaluation Taken"</formula>
    </cfRule>
    <cfRule type="cellIs" dxfId="84" priority="28" operator="equal">
      <formula>"Scheduled"</formula>
    </cfRule>
  </conditionalFormatting>
  <conditionalFormatting sqref="BN2:BN20">
    <cfRule type="cellIs" dxfId="83" priority="21" operator="equal">
      <formula>"Marks Uploaded in Excel"</formula>
    </cfRule>
    <cfRule type="cellIs" dxfId="82" priority="22" operator="equal">
      <formula>"Marking Complete"</formula>
    </cfRule>
    <cfRule type="cellIs" dxfId="81" priority="23" operator="equal">
      <formula>"Evaluation Taken"</formula>
    </cfRule>
    <cfRule type="cellIs" dxfId="80" priority="24" operator="equal">
      <formula>"Scheduled"</formula>
    </cfRule>
  </conditionalFormatting>
  <conditionalFormatting sqref="BQ2:BQ20">
    <cfRule type="cellIs" dxfId="79" priority="17" operator="equal">
      <formula>"Marks Uploaded in Excel"</formula>
    </cfRule>
    <cfRule type="cellIs" dxfId="78" priority="18" operator="equal">
      <formula>"Marking Complete"</formula>
    </cfRule>
    <cfRule type="cellIs" dxfId="77" priority="19" operator="equal">
      <formula>"Evaluation Taken"</formula>
    </cfRule>
    <cfRule type="cellIs" dxfId="76" priority="20" operator="equal">
      <formula>"Scheduled"</formula>
    </cfRule>
  </conditionalFormatting>
  <conditionalFormatting sqref="BT2:BT20">
    <cfRule type="cellIs" dxfId="75" priority="13" operator="equal">
      <formula>"Marks Uploaded in Excel"</formula>
    </cfRule>
    <cfRule type="cellIs" dxfId="74" priority="14" operator="equal">
      <formula>"Marking Complete"</formula>
    </cfRule>
    <cfRule type="cellIs" dxfId="73" priority="15" operator="equal">
      <formula>"Evaluation Taken"</formula>
    </cfRule>
    <cfRule type="cellIs" dxfId="72" priority="16" operator="equal">
      <formula>"Scheduled"</formula>
    </cfRule>
  </conditionalFormatting>
  <conditionalFormatting sqref="BW2:BW20">
    <cfRule type="cellIs" dxfId="71" priority="9" operator="equal">
      <formula>"Marks Uploaded in Excel"</formula>
    </cfRule>
    <cfRule type="cellIs" dxfId="70" priority="10" operator="equal">
      <formula>"Marking Complete"</formula>
    </cfRule>
    <cfRule type="cellIs" dxfId="69" priority="11" operator="equal">
      <formula>"Evaluation Taken"</formula>
    </cfRule>
    <cfRule type="cellIs" dxfId="68" priority="12" operator="equal">
      <formula>"Scheduled"</formula>
    </cfRule>
  </conditionalFormatting>
  <conditionalFormatting sqref="BZ2:BZ20">
    <cfRule type="cellIs" dxfId="67" priority="5" operator="equal">
      <formula>"Marks Uploaded in Excel"</formula>
    </cfRule>
    <cfRule type="cellIs" dxfId="66" priority="6" operator="equal">
      <formula>"Marking Complete"</formula>
    </cfRule>
    <cfRule type="cellIs" dxfId="65" priority="7" operator="equal">
      <formula>"Evaluation Taken"</formula>
    </cfRule>
    <cfRule type="cellIs" dxfId="64" priority="8" operator="equal">
      <formula>"Scheduled"</formula>
    </cfRule>
  </conditionalFormatting>
  <conditionalFormatting sqref="CC2:CC20">
    <cfRule type="cellIs" dxfId="63" priority="1" operator="equal">
      <formula>"Marks Uploaded in Excel"</formula>
    </cfRule>
    <cfRule type="cellIs" dxfId="62" priority="2" operator="equal">
      <formula>"Marking Complete"</formula>
    </cfRule>
    <cfRule type="cellIs" dxfId="61" priority="3" operator="equal">
      <formula>"Evaluation Taken"</formula>
    </cfRule>
    <cfRule type="cellIs" dxfId="60" priority="4" operator="equal">
      <formula>"Scheduled"</formula>
    </cfRule>
  </conditionalFormatting>
  <dataValidations count="2">
    <dataValidation type="list" allowBlank="1" showInputMessage="1" showErrorMessage="1" sqref="G2:G20 AE2:AE20 CA2:CA20 M2:M20 P2:P20 S2:S20 V2:V20 Y2:Y20 AB2:AB20 BX2:BX20 AH2:AH20 AK2:AK20 AN2:AN20 AQ2:AQ20 AT2:AT20 AW2:AW20 AZ2:AZ20 BC2:BC20 BF2:BF20 BI2:BI20 BL2:BL20 BO2:BO20 BR2:BR20 BU2:BU20 J2:J20" xr:uid="{4C2A7F84-030F-43D4-A79B-98E7C076AEA3}">
      <formula1>SessionalEvaluations</formula1>
    </dataValidation>
    <dataValidation type="list" allowBlank="1" showInputMessage="1" showErrorMessage="1" sqref="I2:I20 AG2:AG20 L2:L20 O2:O20 R2:R20 U2:U20 X2:X20 AA2:AA20 AD2:AD20 BZ2:BZ20 AJ2:AJ20 AM2:AM20 AP2:AP20 AS2:AS20 AV2:AV20 AY2:AY20 BB2:BB20 BE2:BE20 BH2:BH20 BK2:BK20 BN2:BN20 BQ2:BQ20 BT2:BT20 BW2:BW20 CC2:CC20" xr:uid="{C3F9658E-489F-4C6B-8BA0-3340FF4F0E63}">
      <formula1>SessionalEvaluationStatus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0A8C-FE3F-4E83-8D12-C45BCFEFECBC}">
  <dimension ref="A1:O33"/>
  <sheetViews>
    <sheetView showGridLines="0" zoomScaleNormal="100" workbookViewId="0">
      <pane xSplit="3" ySplit="1" topLeftCell="D2" activePane="bottomRight" state="frozen"/>
      <selection pane="bottomRight" activeCell="C21" sqref="C21:C22"/>
      <selection pane="bottomLeft" activeCell="A2" sqref="A2"/>
      <selection pane="topRight" activeCell="D1" sqref="D1"/>
    </sheetView>
  </sheetViews>
  <sheetFormatPr defaultColWidth="0" defaultRowHeight="15" zeroHeight="1"/>
  <cols>
    <col min="1" max="1" width="7.28515625" style="75" bestFit="1" customWidth="1"/>
    <col min="2" max="2" width="6.140625" style="17" bestFit="1" customWidth="1"/>
    <col min="3" max="3" width="15.5703125" bestFit="1" customWidth="1"/>
    <col min="4" max="4" width="48.85546875" style="150" customWidth="1"/>
    <col min="5" max="5" width="7.28515625" hidden="1" customWidth="1"/>
    <col min="6" max="6" width="29.140625" hidden="1" customWidth="1"/>
    <col min="7" max="7" width="28.28515625" hidden="1" customWidth="1"/>
    <col min="8" max="8" width="23.7109375" hidden="1" customWidth="1"/>
    <col min="9" max="9" width="26.42578125" hidden="1" customWidth="1"/>
    <col min="10" max="10" width="19.7109375" hidden="1" customWidth="1"/>
    <col min="11" max="11" width="19.85546875" bestFit="1" customWidth="1"/>
    <col min="12" max="12" width="19.85546875" customWidth="1"/>
    <col min="13" max="13" width="16" customWidth="1"/>
    <col min="14" max="14" width="20" customWidth="1"/>
    <col min="15" max="15" width="8.7109375" customWidth="1"/>
    <col min="16" max="26" width="8.7109375" hidden="1" customWidth="1"/>
    <col min="27" max="16384" width="8.7109375" hidden="1"/>
  </cols>
  <sheetData>
    <row r="1" spans="1:14" s="18" customFormat="1" ht="48" customHeight="1" thickBot="1">
      <c r="A1" s="151" t="s">
        <v>23</v>
      </c>
      <c r="B1" s="155" t="str">
        <f>'01_Theory Course List'!B1</f>
        <v>SL No.</v>
      </c>
      <c r="C1" s="189" t="str">
        <f>'01_Theory Course List'!C1</f>
        <v>Course Code</v>
      </c>
      <c r="D1" s="190" t="str">
        <f>'01_Theory Course List'!D1</f>
        <v>Course Title</v>
      </c>
      <c r="E1" s="148" t="s">
        <v>28</v>
      </c>
      <c r="F1" s="48" t="s">
        <v>29</v>
      </c>
      <c r="G1" s="168" t="s">
        <v>30</v>
      </c>
      <c r="H1" s="168" t="s">
        <v>74</v>
      </c>
      <c r="I1" s="168" t="s">
        <v>75</v>
      </c>
      <c r="J1" s="166" t="s">
        <v>76</v>
      </c>
      <c r="K1" s="256" t="s">
        <v>137</v>
      </c>
      <c r="L1" s="136" t="s">
        <v>138</v>
      </c>
      <c r="M1" s="136" t="s">
        <v>139</v>
      </c>
      <c r="N1" s="263" t="s">
        <v>31</v>
      </c>
    </row>
    <row r="2" spans="1:14">
      <c r="A2" s="380" t="s">
        <v>32</v>
      </c>
      <c r="B2" s="20">
        <f>'01_Theory Course List'!B2</f>
        <v>1</v>
      </c>
      <c r="C2" s="26" t="str">
        <f>'01_Theory Course List'!C2</f>
        <v>BME 101</v>
      </c>
      <c r="D2" s="192" t="str">
        <f>'01_Theory Course List'!D2</f>
        <v>Introduction to Biomedical Engineering</v>
      </c>
      <c r="E2" s="302" t="s">
        <v>35</v>
      </c>
      <c r="F2" s="28" t="str">
        <f>IFERROR(INDEX('01_Theory Course List'!$G$2:$G$479,MATCH(C2,'01_Theory Course List'!$C$2:$C$479,0)),"")</f>
        <v>Dr. M. Tarik Arafat</v>
      </c>
      <c r="G2" s="175" t="str">
        <f>IFERROR(INDEX('01_Theory Course List'!$H$2:$H$479,MATCH(C2,'01_Theory Course List'!$C$2:$C$479,0)),"")</f>
        <v>Dr. Jahid Ferdous</v>
      </c>
      <c r="H2" s="176"/>
      <c r="I2" s="176"/>
      <c r="J2" s="196"/>
      <c r="K2" s="20"/>
      <c r="L2" s="386">
        <v>46288</v>
      </c>
      <c r="M2" s="386">
        <v>46297</v>
      </c>
      <c r="N2" s="219"/>
    </row>
    <row r="3" spans="1:14">
      <c r="A3" s="381"/>
      <c r="B3" s="31">
        <f>'01_Theory Course List'!B3</f>
        <v>2</v>
      </c>
      <c r="C3" s="38" t="str">
        <f>'01_Theory Course List'!C3</f>
        <v>BME 201</v>
      </c>
      <c r="D3" s="193" t="str">
        <f>'01_Theory Course List'!D3</f>
        <v>Biomechanics</v>
      </c>
      <c r="E3" s="303"/>
      <c r="F3" s="34" t="str">
        <f>IFERROR(INDEX('01_Theory Course List'!$G$2:$G$479,MATCH(C3,'01_Theory Course List'!$C$2:$C$479,0)),"")</f>
        <v>Mr. Md. Abdullah Al Mamun</v>
      </c>
      <c r="G3" s="169" t="str">
        <f>IFERROR(INDEX('01_Theory Course List'!$H$2:$H$479,MATCH(C3,'01_Theory Course List'!$C$2:$C$479,0)),"")</f>
        <v>Ms. Srija Sarker Anannya</v>
      </c>
      <c r="H3" s="170"/>
      <c r="I3" s="170"/>
      <c r="J3" s="197"/>
      <c r="K3" s="31"/>
      <c r="L3" s="387"/>
      <c r="M3" s="387"/>
      <c r="N3" s="220"/>
    </row>
    <row r="4" spans="1:14">
      <c r="A4" s="381"/>
      <c r="B4" s="31">
        <f>'01_Theory Course List'!B4</f>
        <v>3</v>
      </c>
      <c r="C4" s="38" t="str">
        <f>'01_Theory Course List'!C4</f>
        <v>BME 203</v>
      </c>
      <c r="D4" s="193" t="str">
        <f>'01_Theory Course List'!D4</f>
        <v>Human Physiology</v>
      </c>
      <c r="E4" s="303"/>
      <c r="F4" s="34" t="str">
        <f>IFERROR(INDEX('01_Theory Course List'!$G$2:$G$479,MATCH(C4,'01_Theory Course List'!$C$2:$C$479,0)),"")</f>
        <v>Ms. Tasnia Binte Mamun</v>
      </c>
      <c r="G4" s="169" t="str">
        <f>IFERROR(INDEX('01_Theory Course List'!$H$2:$H$479,MATCH(C4,'01_Theory Course List'!$C$2:$C$479,0)),"")</f>
        <v>Ms. Chaity Chakraborty</v>
      </c>
      <c r="H4" s="170"/>
      <c r="I4" s="170"/>
      <c r="J4" s="197"/>
      <c r="K4" s="31"/>
      <c r="L4" s="387"/>
      <c r="M4" s="387"/>
      <c r="N4" s="220"/>
    </row>
    <row r="5" spans="1:14">
      <c r="A5" s="381"/>
      <c r="B5" s="31">
        <f>'01_Theory Course List'!B5</f>
        <v>4</v>
      </c>
      <c r="C5" s="38" t="str">
        <f>'01_Theory Course List'!C5</f>
        <v>BME 211</v>
      </c>
      <c r="D5" s="193" t="str">
        <f>'01_Theory Course List'!D5</f>
        <v>Bioelectricity</v>
      </c>
      <c r="E5" s="303"/>
      <c r="F5" s="34" t="str">
        <f>IFERROR(INDEX('01_Theory Course List'!$G$2:$G$479,MATCH(C5,'01_Theory Course List'!$C$2:$C$479,0)),"")</f>
        <v>Mr. Samiul Based Shuvo</v>
      </c>
      <c r="G5" s="169" t="str">
        <f>IFERROR(INDEX('01_Theory Course List'!$H$2:$H$479,MATCH(C5,'01_Theory Course List'!$C$2:$C$479,0)),"")</f>
        <v>Mr. Sadman Sakib Himel</v>
      </c>
      <c r="H5" s="170"/>
      <c r="I5" s="170"/>
      <c r="J5" s="197"/>
      <c r="K5" s="31"/>
      <c r="L5" s="387"/>
      <c r="M5" s="387"/>
      <c r="N5" s="220"/>
    </row>
    <row r="6" spans="1:14">
      <c r="A6" s="381"/>
      <c r="B6" s="31">
        <f>'01_Theory Course List'!B6</f>
        <v>5</v>
      </c>
      <c r="C6" s="38" t="str">
        <f>'01_Theory Course List'!C6</f>
        <v>BME 205</v>
      </c>
      <c r="D6" s="193" t="str">
        <f>'01_Theory Course List'!D6</f>
        <v>Biofluid Mechanics and Heat Transfer</v>
      </c>
      <c r="E6" s="303"/>
      <c r="F6" s="34" t="str">
        <f>IFERROR(INDEX('01_Theory Course List'!$G$2:$G$479,MATCH(C6,'01_Theory Course List'!$C$2:$C$479,0)),"")</f>
        <v>Mr. Shoyad Ibn Sabur Khan Nuhash</v>
      </c>
      <c r="G6" s="169" t="str">
        <f>IFERROR(INDEX('01_Theory Course List'!$H$2:$H$479,MATCH(C6,'01_Theory Course List'!$C$2:$C$479,0)),"")</f>
        <v>Mr. Md. Abdullah Al Mamun</v>
      </c>
      <c r="H6" s="170"/>
      <c r="I6" s="170"/>
      <c r="J6" s="197"/>
      <c r="K6" s="31"/>
      <c r="L6" s="387"/>
      <c r="M6" s="387"/>
      <c r="N6" s="220"/>
    </row>
    <row r="7" spans="1:14">
      <c r="A7" s="381"/>
      <c r="B7" s="31">
        <f>'01_Theory Course List'!B7</f>
        <v>6</v>
      </c>
      <c r="C7" s="38" t="str">
        <f>'01_Theory Course List'!C7</f>
        <v>BME  207</v>
      </c>
      <c r="D7" s="193" t="str">
        <f>'01_Theory Course List'!D7</f>
        <v>Biomaterials</v>
      </c>
      <c r="E7" s="303"/>
      <c r="F7" s="34" t="str">
        <f>IFERROR(INDEX('01_Theory Course List'!$G$2:$G$479,MATCH(C7,'01_Theory Course List'!$C$2:$C$479,0)),"")</f>
        <v>Ms. Samina Nishat Binte Akram</v>
      </c>
      <c r="G7" s="169" t="str">
        <f>IFERROR(INDEX('01_Theory Course List'!$H$2:$H$479,MATCH(C7,'01_Theory Course List'!$C$2:$C$479,0)),"")</f>
        <v>Dr. M. Tarik Arafat</v>
      </c>
      <c r="H7" s="170"/>
      <c r="I7" s="170"/>
      <c r="J7" s="197"/>
      <c r="K7" s="31"/>
      <c r="L7" s="387"/>
      <c r="M7" s="387"/>
      <c r="N7" s="220"/>
    </row>
    <row r="8" spans="1:14">
      <c r="A8" s="381"/>
      <c r="B8" s="31">
        <f>'01_Theory Course List'!B8</f>
        <v>7</v>
      </c>
      <c r="C8" s="38" t="str">
        <f>'01_Theory Course List'!C8</f>
        <v>BME 309</v>
      </c>
      <c r="D8" s="193" t="str">
        <f>'01_Theory Course List'!D8</f>
        <v>Quantitative Physiology</v>
      </c>
      <c r="E8" s="303"/>
      <c r="F8" s="34" t="str">
        <f>IFERROR(INDEX('01_Theory Course List'!$G$2:$G$479,MATCH(C8,'01_Theory Course List'!$C$2:$C$479,0)),"")</f>
        <v>Mr. Md. Tazuddin Ahmed Akash</v>
      </c>
      <c r="G8" s="169" t="str">
        <f>IFERROR(INDEX('01_Theory Course List'!$H$2:$H$479,MATCH(C8,'01_Theory Course List'!$C$2:$C$479,0)),"")</f>
        <v>Ms. Omi Bonik</v>
      </c>
      <c r="H8" s="170"/>
      <c r="I8" s="170"/>
      <c r="J8" s="197"/>
      <c r="K8" s="31"/>
      <c r="L8" s="387"/>
      <c r="M8" s="387"/>
      <c r="N8" s="220"/>
    </row>
    <row r="9" spans="1:14">
      <c r="A9" s="381"/>
      <c r="B9" s="31">
        <f>'01_Theory Course List'!B9</f>
        <v>8</v>
      </c>
      <c r="C9" s="38" t="str">
        <f>'01_Theory Course List'!C9</f>
        <v>BME 303</v>
      </c>
      <c r="D9" s="193" t="str">
        <f>'01_Theory Course List'!D9</f>
        <v>Biomedical Instrumentation and Measurements</v>
      </c>
      <c r="E9" s="303"/>
      <c r="F9" s="34" t="str">
        <f>IFERROR(INDEX('01_Theory Course List'!$G$2:$G$479,MATCH(C9,'01_Theory Course List'!$C$2:$C$479,0)),"")</f>
        <v>Mr. Samiul Based Shuvo</v>
      </c>
      <c r="G9" s="169" t="str">
        <f>IFERROR(INDEX('01_Theory Course List'!$H$2:$H$479,MATCH(C9,'01_Theory Course List'!$C$2:$C$479,0)),"")</f>
        <v>Mr. Sayeed Sajjad Razin</v>
      </c>
      <c r="H9" s="170"/>
      <c r="I9" s="170"/>
      <c r="J9" s="197"/>
      <c r="K9" s="31"/>
      <c r="L9" s="387"/>
      <c r="M9" s="387"/>
      <c r="N9" s="220"/>
    </row>
    <row r="10" spans="1:14">
      <c r="A10" s="381"/>
      <c r="B10" s="31">
        <f>'01_Theory Course List'!B10</f>
        <v>9</v>
      </c>
      <c r="C10" s="38" t="str">
        <f>'01_Theory Course List'!C10</f>
        <v>BME 311</v>
      </c>
      <c r="D10" s="193" t="str">
        <f>'01_Theory Course List'!D10</f>
        <v>Biomedical Signals and Systems</v>
      </c>
      <c r="E10" s="303"/>
      <c r="F10" s="34" t="str">
        <f>IFERROR(INDEX('01_Theory Course List'!$G$2:$G$479,MATCH(C10,'01_Theory Course List'!$C$2:$C$479,0)),"")</f>
        <v>Mr. Shoyad Ibn Sabur Khan Nuhash</v>
      </c>
      <c r="G10" s="169" t="str">
        <f>IFERROR(INDEX('01_Theory Course List'!$H$2:$H$479,MATCH(C10,'01_Theory Course List'!$C$2:$C$479,0)),"")</f>
        <v>Dr. Taufiq Hasan</v>
      </c>
      <c r="H10" s="170"/>
      <c r="I10" s="170"/>
      <c r="J10" s="197"/>
      <c r="K10" s="31"/>
      <c r="L10" s="387"/>
      <c r="M10" s="387"/>
      <c r="N10" s="220"/>
    </row>
    <row r="11" spans="1:14">
      <c r="A11" s="381"/>
      <c r="B11" s="31">
        <f>'01_Theory Course List'!B11</f>
        <v>10</v>
      </c>
      <c r="C11" s="38" t="str">
        <f>'01_Theory Course List'!C11</f>
        <v>BME 403</v>
      </c>
      <c r="D11" s="193" t="str">
        <f>'01_Theory Course List'!D11</f>
        <v>Medical Imaging</v>
      </c>
      <c r="E11" s="303"/>
      <c r="F11" s="34" t="str">
        <f>IFERROR(INDEX('01_Theory Course List'!$G$2:$G$479,MATCH(C11,'01_Theory Course List'!$C$2:$C$479,0)),"")</f>
        <v>Ms. Tasnia Binte Mamun</v>
      </c>
      <c r="G11" s="169" t="str">
        <f>IFERROR(INDEX('01_Theory Course List'!$H$2:$H$479,MATCH(C11,'01_Theory Course List'!$C$2:$C$479,0)),"")</f>
        <v>Mr. Shoyad Ibn Sabur Khan Nuhash</v>
      </c>
      <c r="H11" s="170"/>
      <c r="I11" s="170"/>
      <c r="J11" s="197"/>
      <c r="K11" s="31"/>
      <c r="L11" s="387"/>
      <c r="M11" s="387"/>
      <c r="N11" s="220"/>
    </row>
    <row r="12" spans="1:14">
      <c r="A12" s="381"/>
      <c r="B12" s="31">
        <f>'01_Theory Course List'!B12</f>
        <v>11</v>
      </c>
      <c r="C12" s="38" t="str">
        <f>'01_Theory Course List'!C12</f>
        <v>BME 409 (Elective)</v>
      </c>
      <c r="D12" s="193" t="str">
        <f>'01_Theory Course List'!D12</f>
        <v>Tissue Engineering and Regenerative Medicine</v>
      </c>
      <c r="E12" s="303"/>
      <c r="F12" s="34" t="str">
        <f>IFERROR(INDEX('01_Theory Course List'!$G$2:$G$479,MATCH(C12,'01_Theory Course List'!$C$2:$C$479,0)),"")</f>
        <v>Ms. Srija Sarker Anannya</v>
      </c>
      <c r="G12" s="169" t="str">
        <f>IFERROR(INDEX('01_Theory Course List'!$H$2:$H$479,MATCH(C12,'01_Theory Course List'!$C$2:$C$479,0)),"")</f>
        <v>Ms. Chaity Chakraborty</v>
      </c>
      <c r="H12" s="170"/>
      <c r="I12" s="170"/>
      <c r="J12" s="197"/>
      <c r="K12" s="31"/>
      <c r="L12" s="387"/>
      <c r="M12" s="387"/>
      <c r="N12" s="220"/>
    </row>
    <row r="13" spans="1:14">
      <c r="A13" s="381"/>
      <c r="B13" s="31">
        <f>'01_Theory Course List'!B13</f>
        <v>12</v>
      </c>
      <c r="C13" s="38" t="str">
        <f>'01_Theory Course List'!C13</f>
        <v>BME 449 (Elective)</v>
      </c>
      <c r="D13" s="193" t="str">
        <f>'01_Theory Course List'!D13</f>
        <v>Machine Learning for Biomedical Engineers</v>
      </c>
      <c r="E13" s="303"/>
      <c r="F13" s="34" t="str">
        <f>IFERROR(INDEX('01_Theory Course List'!$G$2:$G$479,MATCH(C13,'01_Theory Course List'!$C$2:$C$479,0)),"")</f>
        <v>Dr. Taufiq Hasan</v>
      </c>
      <c r="G13" s="169" t="str">
        <f>IFERROR(INDEX('01_Theory Course List'!$H$2:$H$479,MATCH(C13,'01_Theory Course List'!$C$2:$C$479,0)),"")</f>
        <v>Mr. Sayeed Sajjad Razin</v>
      </c>
      <c r="H13" s="170"/>
      <c r="I13" s="170"/>
      <c r="J13" s="197"/>
      <c r="K13" s="31"/>
      <c r="L13" s="387"/>
      <c r="M13" s="387"/>
      <c r="N13" s="220"/>
    </row>
    <row r="14" spans="1:14">
      <c r="A14" s="382"/>
      <c r="B14" s="162">
        <f>'01_Theory Course List'!B14</f>
        <v>13</v>
      </c>
      <c r="C14" s="161" t="str">
        <f>'01_Theory Course List'!C14</f>
        <v>BME 441 (Elective)</v>
      </c>
      <c r="D14" s="194" t="str">
        <f>'01_Theory Course List'!D14</f>
        <v>Neural Engineering</v>
      </c>
      <c r="E14" s="304"/>
      <c r="F14" s="160" t="str">
        <f>IFERROR(INDEX('01_Theory Course List'!$G$2:$G$479,MATCH(C14,'01_Theory Course List'!$C$2:$C$479,0)),"")</f>
        <v>Mr. Md. Tazuddin Ahmed Akash</v>
      </c>
      <c r="G14" s="178" t="str">
        <f>IFERROR(INDEX('01_Theory Course List'!$H$2:$H$479,MATCH(C14,'01_Theory Course List'!$C$2:$C$479,0)),"")</f>
        <v>Mr. Samiul Based Shuvo</v>
      </c>
      <c r="H14" s="179"/>
      <c r="I14" s="179"/>
      <c r="J14" s="198"/>
      <c r="K14" s="162"/>
      <c r="L14" s="387"/>
      <c r="M14" s="387"/>
      <c r="N14" s="222"/>
    </row>
    <row r="15" spans="1:14">
      <c r="A15" s="381" t="s">
        <v>77</v>
      </c>
      <c r="B15" s="335">
        <v>14</v>
      </c>
      <c r="C15" s="301" t="s">
        <v>78</v>
      </c>
      <c r="D15" s="384" t="s">
        <v>79</v>
      </c>
      <c r="E15" s="147" t="s">
        <v>80</v>
      </c>
      <c r="F15" s="184" t="s">
        <v>40</v>
      </c>
      <c r="G15" s="172" t="s">
        <v>41</v>
      </c>
      <c r="H15" s="172" t="s">
        <v>45</v>
      </c>
      <c r="I15" s="174"/>
      <c r="J15" s="157"/>
      <c r="K15" s="389"/>
      <c r="L15" s="387"/>
      <c r="M15" s="387"/>
      <c r="N15" s="313"/>
    </row>
    <row r="16" spans="1:14">
      <c r="A16" s="381"/>
      <c r="B16" s="327"/>
      <c r="C16" s="294"/>
      <c r="D16" s="293"/>
      <c r="E16" s="146" t="s">
        <v>81</v>
      </c>
      <c r="F16" s="129" t="s">
        <v>40</v>
      </c>
      <c r="G16" s="108" t="s">
        <v>41</v>
      </c>
      <c r="H16" s="108" t="s">
        <v>45</v>
      </c>
      <c r="I16" s="111"/>
      <c r="J16" s="199"/>
      <c r="K16" s="390"/>
      <c r="L16" s="387"/>
      <c r="M16" s="387"/>
      <c r="N16" s="312"/>
    </row>
    <row r="17" spans="1:14">
      <c r="A17" s="381"/>
      <c r="B17" s="379">
        <v>15</v>
      </c>
      <c r="C17" s="294" t="s">
        <v>82</v>
      </c>
      <c r="D17" s="293" t="s">
        <v>83</v>
      </c>
      <c r="E17" s="147" t="s">
        <v>80</v>
      </c>
      <c r="F17" s="184" t="s">
        <v>52</v>
      </c>
      <c r="G17" s="172" t="s">
        <v>55</v>
      </c>
      <c r="H17" s="172" t="s">
        <v>44</v>
      </c>
      <c r="I17" s="172" t="s">
        <v>45</v>
      </c>
      <c r="J17" s="157"/>
      <c r="K17" s="385"/>
      <c r="L17" s="387"/>
      <c r="M17" s="387"/>
      <c r="N17" s="312"/>
    </row>
    <row r="18" spans="1:14">
      <c r="A18" s="381"/>
      <c r="B18" s="327"/>
      <c r="C18" s="294"/>
      <c r="D18" s="293"/>
      <c r="E18" s="146" t="s">
        <v>81</v>
      </c>
      <c r="F18" s="129" t="s">
        <v>52</v>
      </c>
      <c r="G18" s="108" t="s">
        <v>55</v>
      </c>
      <c r="H18" s="108" t="s">
        <v>44</v>
      </c>
      <c r="I18" s="108" t="s">
        <v>59</v>
      </c>
      <c r="J18" s="199"/>
      <c r="K18" s="385"/>
      <c r="L18" s="387"/>
      <c r="M18" s="387"/>
      <c r="N18" s="312"/>
    </row>
    <row r="19" spans="1:14">
      <c r="A19" s="381"/>
      <c r="B19" s="379">
        <v>16</v>
      </c>
      <c r="C19" s="294" t="s">
        <v>84</v>
      </c>
      <c r="D19" s="293" t="s">
        <v>85</v>
      </c>
      <c r="E19" s="147" t="s">
        <v>80</v>
      </c>
      <c r="F19" s="184" t="s">
        <v>52</v>
      </c>
      <c r="G19" s="172" t="s">
        <v>40</v>
      </c>
      <c r="H19" s="172" t="s">
        <v>59</v>
      </c>
      <c r="I19" s="174"/>
      <c r="J19" s="157"/>
      <c r="K19" s="385"/>
      <c r="L19" s="387"/>
      <c r="M19" s="387"/>
      <c r="N19" s="312"/>
    </row>
    <row r="20" spans="1:14">
      <c r="A20" s="381"/>
      <c r="B20" s="327"/>
      <c r="C20" s="294"/>
      <c r="D20" s="293"/>
      <c r="E20" s="146" t="s">
        <v>81</v>
      </c>
      <c r="F20" s="129" t="s">
        <v>52</v>
      </c>
      <c r="G20" s="108" t="s">
        <v>40</v>
      </c>
      <c r="H20" s="108" t="s">
        <v>49</v>
      </c>
      <c r="I20" s="111"/>
      <c r="J20" s="199"/>
      <c r="K20" s="385"/>
      <c r="L20" s="387"/>
      <c r="M20" s="387"/>
      <c r="N20" s="312"/>
    </row>
    <row r="21" spans="1:14">
      <c r="A21" s="381"/>
      <c r="B21" s="379">
        <v>17</v>
      </c>
      <c r="C21" s="294" t="s">
        <v>86</v>
      </c>
      <c r="D21" s="293" t="s">
        <v>87</v>
      </c>
      <c r="E21" s="147" t="s">
        <v>80</v>
      </c>
      <c r="F21" s="184" t="s">
        <v>55</v>
      </c>
      <c r="G21" s="172" t="s">
        <v>41</v>
      </c>
      <c r="H21" s="172" t="s">
        <v>45</v>
      </c>
      <c r="I21" s="174"/>
      <c r="J21" s="157"/>
      <c r="K21" s="385"/>
      <c r="L21" s="387"/>
      <c r="M21" s="387"/>
      <c r="N21" s="312"/>
    </row>
    <row r="22" spans="1:14">
      <c r="A22" s="381"/>
      <c r="B22" s="327"/>
      <c r="C22" s="294"/>
      <c r="D22" s="293"/>
      <c r="E22" s="146" t="s">
        <v>81</v>
      </c>
      <c r="F22" s="129" t="s">
        <v>55</v>
      </c>
      <c r="G22" s="108" t="s">
        <v>41</v>
      </c>
      <c r="H22" s="108" t="s">
        <v>45</v>
      </c>
      <c r="I22" s="111"/>
      <c r="J22" s="199"/>
      <c r="K22" s="385"/>
      <c r="L22" s="387"/>
      <c r="M22" s="387"/>
      <c r="N22" s="312"/>
    </row>
    <row r="23" spans="1:14">
      <c r="A23" s="381"/>
      <c r="B23" s="379">
        <v>18</v>
      </c>
      <c r="C23" s="294" t="s">
        <v>88</v>
      </c>
      <c r="D23" s="293" t="s">
        <v>89</v>
      </c>
      <c r="E23" s="147" t="s">
        <v>80</v>
      </c>
      <c r="F23" s="186" t="s">
        <v>58</v>
      </c>
      <c r="G23" s="171" t="s">
        <v>62</v>
      </c>
      <c r="H23" s="171" t="s">
        <v>49</v>
      </c>
      <c r="I23" s="173"/>
      <c r="J23" s="200"/>
      <c r="K23" s="385"/>
      <c r="L23" s="387"/>
      <c r="M23" s="387"/>
      <c r="N23" s="312"/>
    </row>
    <row r="24" spans="1:14">
      <c r="A24" s="381"/>
      <c r="B24" s="327"/>
      <c r="C24" s="294"/>
      <c r="D24" s="293"/>
      <c r="E24" s="146" t="s">
        <v>81</v>
      </c>
      <c r="F24" s="129" t="s">
        <v>58</v>
      </c>
      <c r="G24" s="108" t="s">
        <v>62</v>
      </c>
      <c r="H24" s="108" t="s">
        <v>49</v>
      </c>
      <c r="I24" s="111"/>
      <c r="J24" s="199"/>
      <c r="K24" s="385"/>
      <c r="L24" s="387"/>
      <c r="M24" s="387"/>
      <c r="N24" s="312"/>
    </row>
    <row r="25" spans="1:14">
      <c r="A25" s="381"/>
      <c r="B25" s="379">
        <v>19</v>
      </c>
      <c r="C25" s="294" t="s">
        <v>90</v>
      </c>
      <c r="D25" s="293" t="s">
        <v>91</v>
      </c>
      <c r="E25" s="147" t="s">
        <v>80</v>
      </c>
      <c r="F25" s="184" t="s">
        <v>52</v>
      </c>
      <c r="G25" s="172" t="s">
        <v>48</v>
      </c>
      <c r="H25" s="172" t="s">
        <v>40</v>
      </c>
      <c r="I25" s="172" t="s">
        <v>55</v>
      </c>
      <c r="J25" s="61" t="s">
        <v>45</v>
      </c>
      <c r="K25" s="385"/>
      <c r="L25" s="387"/>
      <c r="M25" s="387"/>
      <c r="N25" s="312"/>
    </row>
    <row r="26" spans="1:14">
      <c r="A26" s="381"/>
      <c r="B26" s="327"/>
      <c r="C26" s="294"/>
      <c r="D26" s="293"/>
      <c r="E26" s="146" t="s">
        <v>81</v>
      </c>
      <c r="F26" s="129" t="s">
        <v>48</v>
      </c>
      <c r="G26" s="108" t="s">
        <v>58</v>
      </c>
      <c r="H26" s="108" t="s">
        <v>40</v>
      </c>
      <c r="I26" s="108" t="s">
        <v>41</v>
      </c>
      <c r="J26" s="201" t="s">
        <v>62</v>
      </c>
      <c r="K26" s="385"/>
      <c r="L26" s="387"/>
      <c r="M26" s="387"/>
      <c r="N26" s="312"/>
    </row>
    <row r="27" spans="1:14">
      <c r="A27" s="381"/>
      <c r="B27" s="379">
        <v>20</v>
      </c>
      <c r="C27" s="294" t="s">
        <v>92</v>
      </c>
      <c r="D27" s="293" t="s">
        <v>93</v>
      </c>
      <c r="E27" s="147" t="s">
        <v>80</v>
      </c>
      <c r="F27" s="184" t="s">
        <v>48</v>
      </c>
      <c r="G27" s="172" t="s">
        <v>62</v>
      </c>
      <c r="H27" s="172" t="s">
        <v>49</v>
      </c>
      <c r="I27" s="174"/>
      <c r="J27" s="157"/>
      <c r="K27" s="385"/>
      <c r="L27" s="387"/>
      <c r="M27" s="387"/>
      <c r="N27" s="312"/>
    </row>
    <row r="28" spans="1:14">
      <c r="A28" s="381"/>
      <c r="B28" s="327"/>
      <c r="C28" s="294"/>
      <c r="D28" s="293"/>
      <c r="E28" s="146" t="s">
        <v>81</v>
      </c>
      <c r="F28" s="129" t="s">
        <v>48</v>
      </c>
      <c r="G28" s="108" t="s">
        <v>62</v>
      </c>
      <c r="H28" s="108" t="s">
        <v>49</v>
      </c>
      <c r="I28" s="111"/>
      <c r="J28" s="199"/>
      <c r="K28" s="385"/>
      <c r="L28" s="387"/>
      <c r="M28" s="387"/>
      <c r="N28" s="312"/>
    </row>
    <row r="29" spans="1:14">
      <c r="A29" s="381"/>
      <c r="B29" s="379">
        <v>21</v>
      </c>
      <c r="C29" s="294" t="s">
        <v>94</v>
      </c>
      <c r="D29" s="293" t="s">
        <v>95</v>
      </c>
      <c r="E29" s="147" t="s">
        <v>80</v>
      </c>
      <c r="F29" s="184" t="s">
        <v>58</v>
      </c>
      <c r="G29" s="172" t="s">
        <v>62</v>
      </c>
      <c r="H29" s="172" t="s">
        <v>49</v>
      </c>
      <c r="I29" s="174"/>
      <c r="J29" s="157"/>
      <c r="K29" s="385"/>
      <c r="L29" s="387"/>
      <c r="M29" s="387"/>
      <c r="N29" s="312"/>
    </row>
    <row r="30" spans="1:14">
      <c r="A30" s="381"/>
      <c r="B30" s="327"/>
      <c r="C30" s="294"/>
      <c r="D30" s="293"/>
      <c r="E30" s="146" t="s">
        <v>81</v>
      </c>
      <c r="F30" s="129" t="s">
        <v>44</v>
      </c>
      <c r="G30" s="108" t="s">
        <v>59</v>
      </c>
      <c r="H30" s="108" t="s">
        <v>49</v>
      </c>
      <c r="I30" s="111"/>
      <c r="J30" s="199"/>
      <c r="K30" s="385"/>
      <c r="L30" s="387"/>
      <c r="M30" s="387"/>
      <c r="N30" s="312"/>
    </row>
    <row r="31" spans="1:14">
      <c r="A31" s="381"/>
      <c r="B31" s="379">
        <v>22</v>
      </c>
      <c r="C31" s="290" t="s">
        <v>96</v>
      </c>
      <c r="D31" s="293" t="s">
        <v>97</v>
      </c>
      <c r="E31" s="147" t="s">
        <v>80</v>
      </c>
      <c r="F31" s="184" t="s">
        <v>58</v>
      </c>
      <c r="G31" s="172" t="s">
        <v>44</v>
      </c>
      <c r="H31" s="172" t="s">
        <v>59</v>
      </c>
      <c r="I31" s="174"/>
      <c r="J31" s="157"/>
      <c r="K31" s="385"/>
      <c r="L31" s="387"/>
      <c r="M31" s="387"/>
      <c r="N31" s="312"/>
    </row>
    <row r="32" spans="1:14">
      <c r="A32" s="381"/>
      <c r="B32" s="327"/>
      <c r="C32" s="290"/>
      <c r="D32" s="293"/>
      <c r="E32" s="146" t="s">
        <v>81</v>
      </c>
      <c r="F32" s="129" t="s">
        <v>58</v>
      </c>
      <c r="G32" s="108" t="s">
        <v>44</v>
      </c>
      <c r="H32" s="108" t="s">
        <v>59</v>
      </c>
      <c r="I32" s="111"/>
      <c r="J32" s="199"/>
      <c r="K32" s="385"/>
      <c r="L32" s="387"/>
      <c r="M32" s="387"/>
      <c r="N32" s="312"/>
    </row>
    <row r="33" spans="1:14" ht="15.75" thickBot="1">
      <c r="A33" s="383"/>
      <c r="B33" s="80">
        <v>23</v>
      </c>
      <c r="C33" s="163" t="s">
        <v>98</v>
      </c>
      <c r="D33" s="195" t="s">
        <v>99</v>
      </c>
      <c r="E33" s="104" t="s">
        <v>35</v>
      </c>
      <c r="F33" s="130" t="s">
        <v>36</v>
      </c>
      <c r="G33" s="131" t="s">
        <v>65</v>
      </c>
      <c r="H33" s="131" t="s">
        <v>37</v>
      </c>
      <c r="I33" s="132"/>
      <c r="J33" s="202"/>
      <c r="K33" s="279"/>
      <c r="L33" s="388"/>
      <c r="M33" s="388"/>
      <c r="N33" s="221"/>
    </row>
  </sheetData>
  <mergeCells count="50">
    <mergeCell ref="K23:K24"/>
    <mergeCell ref="K29:K30"/>
    <mergeCell ref="B21:B22"/>
    <mergeCell ref="C21:C22"/>
    <mergeCell ref="D21:D22"/>
    <mergeCell ref="D25:D26"/>
    <mergeCell ref="D27:D28"/>
    <mergeCell ref="N29:N30"/>
    <mergeCell ref="K25:K26"/>
    <mergeCell ref="K27:K28"/>
    <mergeCell ref="M2:M33"/>
    <mergeCell ref="N31:N32"/>
    <mergeCell ref="N15:N16"/>
    <mergeCell ref="N17:N18"/>
    <mergeCell ref="N19:N20"/>
    <mergeCell ref="N21:N22"/>
    <mergeCell ref="N23:N24"/>
    <mergeCell ref="K19:K20"/>
    <mergeCell ref="K21:K22"/>
    <mergeCell ref="K15:K16"/>
    <mergeCell ref="K17:K18"/>
    <mergeCell ref="K31:K32"/>
    <mergeCell ref="L2:L33"/>
    <mergeCell ref="E2:E14"/>
    <mergeCell ref="N25:N26"/>
    <mergeCell ref="N27:N28"/>
    <mergeCell ref="B19:B20"/>
    <mergeCell ref="C19:C20"/>
    <mergeCell ref="D19:D20"/>
    <mergeCell ref="B15:B16"/>
    <mergeCell ref="C15:C16"/>
    <mergeCell ref="D15:D16"/>
    <mergeCell ref="B23:B24"/>
    <mergeCell ref="C23:C24"/>
    <mergeCell ref="D23:D24"/>
    <mergeCell ref="B25:B26"/>
    <mergeCell ref="C25:C26"/>
    <mergeCell ref="B27:B28"/>
    <mergeCell ref="C27:C28"/>
    <mergeCell ref="C17:C18"/>
    <mergeCell ref="D17:D18"/>
    <mergeCell ref="A2:A14"/>
    <mergeCell ref="A15:A33"/>
    <mergeCell ref="B31:B32"/>
    <mergeCell ref="C31:C32"/>
    <mergeCell ref="D31:D32"/>
    <mergeCell ref="B29:B30"/>
    <mergeCell ref="C29:C30"/>
    <mergeCell ref="D29:D30"/>
    <mergeCell ref="B17:B18"/>
  </mergeCells>
  <conditionalFormatting sqref="K2:K14">
    <cfRule type="cellIs" dxfId="59" priority="15" operator="equal">
      <formula>"Feedbacks Collected"</formula>
    </cfRule>
    <cfRule type="cellIs" dxfId="58" priority="16" operator="equal">
      <formula>"Students Reminded"</formula>
    </cfRule>
    <cfRule type="cellIs" dxfId="57" priority="17" operator="equal">
      <formula>"CT Scheduled"</formula>
    </cfRule>
    <cfRule type="cellIs" dxfId="56" priority="18" operator="equal">
      <formula>"CT Taken"</formula>
    </cfRule>
    <cfRule type="cellIs" dxfId="55" priority="19" operator="equal">
      <formula>"Scripts Under Examination"</formula>
    </cfRule>
    <cfRule type="cellIs" dxfId="54" priority="20" operator="equal">
      <formula>"Scripts Checked"</formula>
    </cfRule>
    <cfRule type="cellIs" dxfId="53" priority="21" operator="equal">
      <formula>"Marks Published"</formula>
    </cfRule>
  </conditionalFormatting>
  <conditionalFormatting sqref="K15 G15:G33 K17 K19 K21 K23 K25 K27 K29 K31">
    <cfRule type="cellIs" dxfId="52" priority="106" operator="equal">
      <formula>"Under Preparation"</formula>
    </cfRule>
    <cfRule type="cellIs" dxfId="51" priority="107" operator="equal">
      <formula>"Prepared"</formula>
    </cfRule>
    <cfRule type="cellIs" dxfId="50" priority="108" operator="equal">
      <formula>"Shared with Students"</formula>
    </cfRule>
  </conditionalFormatting>
  <conditionalFormatting sqref="K33">
    <cfRule type="cellIs" dxfId="49" priority="1" operator="equal">
      <formula>"Feedbacks Collected"</formula>
    </cfRule>
    <cfRule type="cellIs" dxfId="48" priority="2" operator="equal">
      <formula>"Students Reminded"</formula>
    </cfRule>
    <cfRule type="cellIs" dxfId="47" priority="3" operator="equal">
      <formula>"CT Scheduled"</formula>
    </cfRule>
    <cfRule type="cellIs" dxfId="46" priority="4" operator="equal">
      <formula>"CT Taken"</formula>
    </cfRule>
    <cfRule type="cellIs" dxfId="45" priority="5" operator="equal">
      <formula>"Scripts Under Examination"</formula>
    </cfRule>
    <cfRule type="cellIs" dxfId="44" priority="6" operator="equal">
      <formula>"Scripts Checked"</formula>
    </cfRule>
    <cfRule type="cellIs" dxfId="43" priority="7" operator="equal">
      <formula>"Marks Published"</formula>
    </cfRule>
  </conditionalFormatting>
  <dataValidations count="2">
    <dataValidation type="list" allowBlank="1" showInputMessage="1" showErrorMessage="1" sqref="K2:K14 K15:K1048576" xr:uid="{9D730218-6E65-4151-A28C-2A255D5B40E8}">
      <formula1>FeedbackStatus</formula1>
    </dataValidation>
    <dataValidation type="list" allowBlank="1" showInputMessage="1" showErrorMessage="1" sqref="F15:J33 H2:J14" xr:uid="{7CAF9D70-A7D4-49C4-BA8B-FB77B71784BE}">
      <formula1>Faculty_List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E317F-D68B-4CBF-9320-C7525ADBCB8D}">
  <dimension ref="A1:L40"/>
  <sheetViews>
    <sheetView showGridLines="0" zoomScaleNormal="100" workbookViewId="0">
      <pane xSplit="2" ySplit="1" topLeftCell="F2" activePane="bottomRight" state="frozen"/>
      <selection pane="bottomRight" activeCell="I4" sqref="I4:I5"/>
      <selection pane="bottomLeft" activeCell="A2" sqref="A2"/>
      <selection pane="topRight" activeCell="D1" sqref="D1"/>
    </sheetView>
  </sheetViews>
  <sheetFormatPr defaultColWidth="0" defaultRowHeight="15" zeroHeight="1"/>
  <cols>
    <col min="1" max="1" width="7.42578125" style="4" customWidth="1"/>
    <col min="2" max="2" width="8.140625" style="2" bestFit="1" customWidth="1"/>
    <col min="3" max="3" width="52.140625" hidden="1" customWidth="1"/>
    <col min="4" max="4" width="7.42578125" style="2" hidden="1" customWidth="1"/>
    <col min="5" max="5" width="7.28515625" hidden="1" customWidth="1"/>
    <col min="6" max="6" width="29.140625" bestFit="1" customWidth="1"/>
    <col min="7" max="7" width="18.28515625" customWidth="1"/>
    <col min="8" max="8" width="29.140625" bestFit="1" customWidth="1"/>
    <col min="9" max="9" width="18.7109375" customWidth="1"/>
    <col min="10" max="10" width="26.7109375" customWidth="1"/>
    <col min="11" max="11" width="14.85546875" bestFit="1" customWidth="1"/>
    <col min="12" max="12" width="8.7109375" customWidth="1"/>
    <col min="13" max="16384" width="8.7109375" hidden="1"/>
  </cols>
  <sheetData>
    <row r="1" spans="1:11" ht="31.5" customHeight="1" thickBot="1">
      <c r="A1" s="19" t="str">
        <f>'02_Sessional Course List'!B1</f>
        <v>SL No.</v>
      </c>
      <c r="B1" s="206" t="str">
        <f>'02_Sessional Course List'!C1</f>
        <v>Course Code</v>
      </c>
      <c r="C1" s="190" t="str">
        <f>'02_Sessional Course List'!D1</f>
        <v>Course Title</v>
      </c>
      <c r="D1" s="223" t="str">
        <f>'02_Sessional Course List'!E1</f>
        <v>Contact Hours</v>
      </c>
      <c r="E1" s="203" t="str">
        <f>'02_Sessional Course List'!F1</f>
        <v>Section</v>
      </c>
      <c r="F1" s="270" t="s">
        <v>140</v>
      </c>
      <c r="G1" s="271" t="s">
        <v>141</v>
      </c>
      <c r="H1" s="273" t="s">
        <v>142</v>
      </c>
      <c r="I1" s="274" t="s">
        <v>143</v>
      </c>
      <c r="J1" s="269" t="s">
        <v>144</v>
      </c>
      <c r="K1" s="263" t="s">
        <v>31</v>
      </c>
    </row>
    <row r="2" spans="1:11" ht="15" customHeight="1">
      <c r="A2" s="347">
        <f>'02_Sessional Course List'!B2</f>
        <v>1</v>
      </c>
      <c r="B2" s="395" t="str">
        <f>'02_Sessional Course List'!C2</f>
        <v>BME 202</v>
      </c>
      <c r="C2" s="396" t="str">
        <f>'02_Sessional Course List'!D2</f>
        <v>Biomechanics Sessional</v>
      </c>
      <c r="D2" s="347">
        <f>'02_Sessional Course List'!E2</f>
        <v>1.5</v>
      </c>
      <c r="E2" s="121" t="str">
        <f>'02_Sessional Course List'!F2</f>
        <v>A1</v>
      </c>
      <c r="F2" s="394" t="s">
        <v>40</v>
      </c>
      <c r="G2" s="400"/>
      <c r="H2" s="394" t="s">
        <v>37</v>
      </c>
      <c r="I2" s="400"/>
      <c r="J2" s="401"/>
      <c r="K2" s="399"/>
    </row>
    <row r="3" spans="1:11">
      <c r="A3" s="348"/>
      <c r="B3" s="391"/>
      <c r="C3" s="397"/>
      <c r="D3" s="348"/>
      <c r="E3" s="122" t="str">
        <f>'02_Sessional Course List'!F3</f>
        <v>A2</v>
      </c>
      <c r="F3" s="393"/>
      <c r="G3" s="398"/>
      <c r="H3" s="393"/>
      <c r="I3" s="398"/>
      <c r="J3" s="402"/>
      <c r="K3" s="390"/>
    </row>
    <row r="4" spans="1:11">
      <c r="A4" s="348">
        <f>'02_Sessional Course List'!B4</f>
        <v>2</v>
      </c>
      <c r="B4" s="391" t="str">
        <f>'02_Sessional Course List'!C4</f>
        <v>BME 204</v>
      </c>
      <c r="C4" s="392" t="str">
        <f>'02_Sessional Course List'!D4</f>
        <v>Human Physiology Sessional</v>
      </c>
      <c r="D4" s="348">
        <f>'02_Sessional Course List'!E4</f>
        <v>3</v>
      </c>
      <c r="E4" s="123" t="str">
        <f>'02_Sessional Course List'!F4</f>
        <v>A1</v>
      </c>
      <c r="F4" s="393" t="s">
        <v>44</v>
      </c>
      <c r="G4" s="398"/>
      <c r="H4" s="393" t="s">
        <v>37</v>
      </c>
      <c r="I4" s="398"/>
      <c r="J4" s="402"/>
      <c r="K4" s="385"/>
    </row>
    <row r="5" spans="1:11">
      <c r="A5" s="348"/>
      <c r="B5" s="391"/>
      <c r="C5" s="392"/>
      <c r="D5" s="348"/>
      <c r="E5" s="122" t="str">
        <f>'02_Sessional Course List'!F5</f>
        <v>A2</v>
      </c>
      <c r="F5" s="393"/>
      <c r="G5" s="398"/>
      <c r="H5" s="393"/>
      <c r="I5" s="398"/>
      <c r="J5" s="402"/>
      <c r="K5" s="385"/>
    </row>
    <row r="6" spans="1:11">
      <c r="A6" s="348">
        <f>'02_Sessional Course List'!B6</f>
        <v>3</v>
      </c>
      <c r="B6" s="391" t="str">
        <f>'02_Sessional Course List'!C6</f>
        <v>BME 206</v>
      </c>
      <c r="C6" s="392" t="str">
        <f>'02_Sessional Course List'!D6</f>
        <v>Biofluid Mechanics and Heat Transfer Sessional</v>
      </c>
      <c r="D6" s="348">
        <f>'02_Sessional Course List'!E6</f>
        <v>3</v>
      </c>
      <c r="E6" s="123" t="str">
        <f>'02_Sessional Course List'!F6</f>
        <v>A1</v>
      </c>
      <c r="F6" s="393" t="s">
        <v>52</v>
      </c>
      <c r="G6" s="398"/>
      <c r="H6" s="393" t="s">
        <v>36</v>
      </c>
      <c r="I6" s="398"/>
      <c r="J6" s="402"/>
      <c r="K6" s="385"/>
    </row>
    <row r="7" spans="1:11">
      <c r="A7" s="348"/>
      <c r="B7" s="391"/>
      <c r="C7" s="392"/>
      <c r="D7" s="348"/>
      <c r="E7" s="122" t="str">
        <f>'02_Sessional Course List'!F7</f>
        <v>A2</v>
      </c>
      <c r="F7" s="393"/>
      <c r="G7" s="398"/>
      <c r="H7" s="393"/>
      <c r="I7" s="398"/>
      <c r="J7" s="402"/>
      <c r="K7" s="385"/>
    </row>
    <row r="8" spans="1:11">
      <c r="A8" s="348">
        <f>'02_Sessional Course List'!B8</f>
        <v>4</v>
      </c>
      <c r="B8" s="391" t="str">
        <f>'02_Sessional Course List'!C8</f>
        <v>BME 208</v>
      </c>
      <c r="C8" s="392" t="str">
        <f>'02_Sessional Course List'!D8</f>
        <v>Biomaterials Sessional</v>
      </c>
      <c r="D8" s="348">
        <f>'02_Sessional Course List'!E8</f>
        <v>3</v>
      </c>
      <c r="E8" s="123" t="str">
        <f>'02_Sessional Course List'!F8</f>
        <v>A1</v>
      </c>
      <c r="F8" s="393" t="s">
        <v>55</v>
      </c>
      <c r="G8" s="398"/>
      <c r="H8" s="393" t="s">
        <v>36</v>
      </c>
      <c r="I8" s="398"/>
      <c r="J8" s="402"/>
      <c r="K8" s="385"/>
    </row>
    <row r="9" spans="1:11">
      <c r="A9" s="348"/>
      <c r="B9" s="391"/>
      <c r="C9" s="392"/>
      <c r="D9" s="348"/>
      <c r="E9" s="122" t="str">
        <f>'02_Sessional Course List'!F9</f>
        <v>A2</v>
      </c>
      <c r="F9" s="393"/>
      <c r="G9" s="398"/>
      <c r="H9" s="393"/>
      <c r="I9" s="398"/>
      <c r="J9" s="402"/>
      <c r="K9" s="385"/>
    </row>
    <row r="10" spans="1:11">
      <c r="A10" s="348">
        <f>'02_Sessional Course List'!B10</f>
        <v>5</v>
      </c>
      <c r="B10" s="391" t="str">
        <f>'02_Sessional Course List'!C10</f>
        <v>BME 210</v>
      </c>
      <c r="C10" s="392" t="str">
        <f>'02_Sessional Course List'!D10</f>
        <v>Numerial Techniques Sessional</v>
      </c>
      <c r="D10" s="348">
        <f>'02_Sessional Course List'!E10</f>
        <v>1.5</v>
      </c>
      <c r="E10" s="123" t="str">
        <f>'02_Sessional Course List'!F10</f>
        <v>A1</v>
      </c>
      <c r="F10" s="393" t="s">
        <v>58</v>
      </c>
      <c r="G10" s="398"/>
      <c r="H10" s="393" t="s">
        <v>37</v>
      </c>
      <c r="I10" s="398"/>
      <c r="J10" s="402"/>
      <c r="K10" s="385"/>
    </row>
    <row r="11" spans="1:11" ht="15" customHeight="1">
      <c r="A11" s="348"/>
      <c r="B11" s="391"/>
      <c r="C11" s="392"/>
      <c r="D11" s="348"/>
      <c r="E11" s="122" t="str">
        <f>'02_Sessional Course List'!F11</f>
        <v>A2</v>
      </c>
      <c r="F11" s="393"/>
      <c r="G11" s="398"/>
      <c r="H11" s="393"/>
      <c r="I11" s="398"/>
      <c r="J11" s="402"/>
      <c r="K11" s="385"/>
    </row>
    <row r="12" spans="1:11">
      <c r="A12" s="348">
        <f>'02_Sessional Course List'!B12</f>
        <v>6</v>
      </c>
      <c r="B12" s="391" t="str">
        <f>'02_Sessional Course List'!C12</f>
        <v>BME 300</v>
      </c>
      <c r="C12" s="397" t="str">
        <f>'02_Sessional Course List'!D12</f>
        <v>Biomedical Engineering Design - I</v>
      </c>
      <c r="D12" s="348">
        <f>'02_Sessional Course List'!E12</f>
        <v>3</v>
      </c>
      <c r="E12" s="123" t="str">
        <f>'02_Sessional Course List'!F12</f>
        <v>A1</v>
      </c>
      <c r="F12" s="393" t="s">
        <v>48</v>
      </c>
      <c r="G12" s="398"/>
      <c r="H12" s="393" t="s">
        <v>65</v>
      </c>
      <c r="I12" s="398"/>
      <c r="J12" s="402"/>
      <c r="K12" s="385"/>
    </row>
    <row r="13" spans="1:11">
      <c r="A13" s="348"/>
      <c r="B13" s="391"/>
      <c r="C13" s="397"/>
      <c r="D13" s="348"/>
      <c r="E13" s="122" t="str">
        <f>'02_Sessional Course List'!F13</f>
        <v>A2</v>
      </c>
      <c r="F13" s="393"/>
      <c r="G13" s="398"/>
      <c r="H13" s="393"/>
      <c r="I13" s="398"/>
      <c r="J13" s="402"/>
      <c r="K13" s="385"/>
    </row>
    <row r="14" spans="1:11">
      <c r="A14" s="348">
        <f>'02_Sessional Course List'!B14</f>
        <v>7</v>
      </c>
      <c r="B14" s="391" t="str">
        <f>'02_Sessional Course List'!C14</f>
        <v>BME 304</v>
      </c>
      <c r="C14" s="392" t="str">
        <f>'02_Sessional Course List'!D14</f>
        <v>Biomedical Instrumentation and Measurements Sessional</v>
      </c>
      <c r="D14" s="348">
        <f>'02_Sessional Course List'!E14</f>
        <v>3</v>
      </c>
      <c r="E14" s="123" t="str">
        <f>'02_Sessional Course List'!F14</f>
        <v>A1</v>
      </c>
      <c r="F14" s="393" t="s">
        <v>62</v>
      </c>
      <c r="G14" s="398"/>
      <c r="H14" s="393" t="s">
        <v>65</v>
      </c>
      <c r="I14" s="398"/>
      <c r="J14" s="402"/>
      <c r="K14" s="385"/>
    </row>
    <row r="15" spans="1:11" ht="15" customHeight="1">
      <c r="A15" s="348"/>
      <c r="B15" s="391"/>
      <c r="C15" s="392"/>
      <c r="D15" s="348"/>
      <c r="E15" s="122" t="str">
        <f>'02_Sessional Course List'!F15</f>
        <v>A2</v>
      </c>
      <c r="F15" s="393"/>
      <c r="G15" s="398"/>
      <c r="H15" s="393"/>
      <c r="I15" s="398"/>
      <c r="J15" s="402"/>
      <c r="K15" s="385"/>
    </row>
    <row r="16" spans="1:11">
      <c r="A16" s="348">
        <f>'02_Sessional Course List'!B16</f>
        <v>8</v>
      </c>
      <c r="B16" s="391" t="str">
        <f>'02_Sessional Course List'!C16</f>
        <v>BME 310</v>
      </c>
      <c r="C16" s="392" t="str">
        <f>'02_Sessional Course List'!D16</f>
        <v>Communication Protocol for Biomedical Instruments Sessional</v>
      </c>
      <c r="D16" s="348">
        <f>'02_Sessional Course List'!E16</f>
        <v>3</v>
      </c>
      <c r="E16" s="123" t="str">
        <f>'02_Sessional Course List'!F16</f>
        <v>A1</v>
      </c>
      <c r="F16" s="393" t="s">
        <v>49</v>
      </c>
      <c r="G16" s="398"/>
      <c r="H16" s="393" t="s">
        <v>65</v>
      </c>
      <c r="I16" s="398"/>
      <c r="J16" s="402"/>
      <c r="K16" s="385"/>
    </row>
    <row r="17" spans="1:11">
      <c r="A17" s="348"/>
      <c r="B17" s="391"/>
      <c r="C17" s="392"/>
      <c r="D17" s="348"/>
      <c r="E17" s="122" t="str">
        <f>'02_Sessional Course List'!F17</f>
        <v>A2</v>
      </c>
      <c r="F17" s="393"/>
      <c r="G17" s="398"/>
      <c r="H17" s="393"/>
      <c r="I17" s="398"/>
      <c r="J17" s="402"/>
      <c r="K17" s="385"/>
    </row>
    <row r="18" spans="1:11">
      <c r="A18" s="348">
        <f>'02_Sessional Course List'!B18</f>
        <v>9</v>
      </c>
      <c r="B18" s="403" t="str">
        <f>'02_Sessional Course List'!C18</f>
        <v>BME 404</v>
      </c>
      <c r="C18" s="392" t="str">
        <f>'02_Sessional Course List'!D18</f>
        <v>Medical Imaging Sessional</v>
      </c>
      <c r="D18" s="348">
        <f>'02_Sessional Course List'!E18</f>
        <v>3</v>
      </c>
      <c r="E18" s="123" t="str">
        <f>'02_Sessional Course List'!F18</f>
        <v>A1</v>
      </c>
      <c r="F18" s="393" t="s">
        <v>59</v>
      </c>
      <c r="G18" s="398"/>
      <c r="H18" s="393" t="s">
        <v>52</v>
      </c>
      <c r="I18" s="398"/>
      <c r="J18" s="402"/>
      <c r="K18" s="385"/>
    </row>
    <row r="19" spans="1:11">
      <c r="A19" s="348"/>
      <c r="B19" s="403"/>
      <c r="C19" s="392"/>
      <c r="D19" s="348"/>
      <c r="E19" s="122" t="str">
        <f>'02_Sessional Course List'!F19</f>
        <v>A2</v>
      </c>
      <c r="F19" s="393"/>
      <c r="G19" s="398"/>
      <c r="H19" s="393"/>
      <c r="I19" s="398"/>
      <c r="J19" s="402"/>
      <c r="K19" s="385"/>
    </row>
    <row r="20" spans="1:11" ht="15.75" thickBot="1">
      <c r="A20" s="80">
        <f>'02_Sessional Course List'!B20</f>
        <v>10</v>
      </c>
      <c r="B20" s="278" t="str">
        <f>'02_Sessional Course List'!C20</f>
        <v>BME 400</v>
      </c>
      <c r="C20" s="164" t="str">
        <f>'02_Sessional Course List'!D20</f>
        <v>Thesis</v>
      </c>
      <c r="D20" s="80">
        <f>'02_Sessional Course List'!E20</f>
        <v>6</v>
      </c>
      <c r="E20" s="124" t="str">
        <f>'02_Sessional Course List'!F20</f>
        <v>X</v>
      </c>
      <c r="F20" s="272" t="s">
        <v>36</v>
      </c>
      <c r="G20" s="154"/>
      <c r="H20" s="272" t="s">
        <v>37</v>
      </c>
      <c r="I20" s="154"/>
      <c r="J20" s="275"/>
      <c r="K20" s="276"/>
    </row>
    <row r="21" spans="1:11" hidden="1">
      <c r="A21" s="14"/>
      <c r="B21" s="15"/>
      <c r="C21" s="16"/>
      <c r="D21" s="15"/>
      <c r="E21" s="16"/>
      <c r="F21" s="11"/>
      <c r="G21" s="11"/>
      <c r="H21" s="11"/>
      <c r="I21" s="11"/>
      <c r="J21" s="11"/>
    </row>
    <row r="22" spans="1:11" hidden="1">
      <c r="A22" s="7"/>
      <c r="B22" s="12"/>
      <c r="C22" s="13"/>
      <c r="D22" s="12"/>
      <c r="E22" s="13"/>
      <c r="F22" s="6"/>
      <c r="G22" s="6"/>
      <c r="H22" s="6"/>
      <c r="I22" s="6"/>
      <c r="J22" s="6"/>
    </row>
    <row r="23" spans="1:11" hidden="1">
      <c r="A23" s="7"/>
      <c r="B23" s="12"/>
      <c r="C23" s="13"/>
      <c r="D23" s="12"/>
      <c r="E23" s="13"/>
      <c r="F23" s="6"/>
      <c r="G23" s="6"/>
      <c r="H23" s="6"/>
      <c r="I23" s="6"/>
      <c r="J23" s="6"/>
    </row>
    <row r="24" spans="1:11" hidden="1">
      <c r="A24" s="7"/>
      <c r="B24" s="12"/>
      <c r="C24" s="13"/>
      <c r="D24" s="12"/>
      <c r="E24" s="13"/>
      <c r="F24" s="6"/>
      <c r="G24" s="6"/>
      <c r="H24" s="6"/>
      <c r="I24" s="6"/>
      <c r="J24" s="6"/>
    </row>
    <row r="25" spans="1:11" hidden="1">
      <c r="A25" s="7"/>
      <c r="B25" s="12"/>
      <c r="C25" s="13"/>
      <c r="D25" s="12"/>
      <c r="E25" s="13"/>
      <c r="F25" s="6"/>
      <c r="G25" s="6"/>
      <c r="H25" s="6"/>
      <c r="I25" s="6"/>
      <c r="J25" s="6"/>
    </row>
    <row r="26" spans="1:11" hidden="1">
      <c r="A26" s="7"/>
      <c r="B26" s="12"/>
      <c r="C26" s="13"/>
      <c r="D26" s="12"/>
      <c r="E26" s="13"/>
      <c r="F26" s="6"/>
      <c r="G26" s="6"/>
      <c r="H26" s="6"/>
      <c r="I26" s="6"/>
      <c r="J26" s="6"/>
    </row>
    <row r="27" spans="1:11" hidden="1">
      <c r="A27" s="7"/>
      <c r="B27" s="12"/>
      <c r="C27" s="13"/>
      <c r="D27" s="12"/>
      <c r="E27" s="13"/>
      <c r="F27" s="6"/>
      <c r="G27" s="6"/>
      <c r="H27" s="6"/>
      <c r="I27" s="6"/>
      <c r="J27" s="6"/>
    </row>
    <row r="28" spans="1:11" hidden="1">
      <c r="A28" s="7"/>
      <c r="B28" s="12"/>
      <c r="C28" s="13"/>
      <c r="D28" s="12"/>
      <c r="E28" s="13"/>
      <c r="F28" s="6"/>
      <c r="G28" s="6"/>
      <c r="H28" s="6"/>
      <c r="I28" s="6"/>
      <c r="J28" s="6"/>
    </row>
    <row r="29" spans="1:11" hidden="1">
      <c r="A29" s="7"/>
      <c r="B29" s="12"/>
      <c r="C29" s="13"/>
      <c r="D29" s="12"/>
      <c r="E29" s="13"/>
      <c r="F29" s="6"/>
      <c r="G29" s="6"/>
      <c r="H29" s="6"/>
      <c r="I29" s="6"/>
      <c r="J29" s="6"/>
    </row>
    <row r="30" spans="1:11" hidden="1">
      <c r="A30" s="7"/>
      <c r="B30" s="12"/>
      <c r="C30" s="13"/>
      <c r="D30" s="12"/>
      <c r="E30" s="13"/>
      <c r="F30" s="6"/>
      <c r="G30" s="6"/>
      <c r="H30" s="6"/>
      <c r="I30" s="6"/>
      <c r="J30" s="6"/>
    </row>
    <row r="31" spans="1:11" hidden="1">
      <c r="A31" s="7"/>
      <c r="B31" s="12"/>
      <c r="C31" s="13"/>
      <c r="D31" s="12"/>
      <c r="E31" s="13"/>
      <c r="F31" s="6"/>
      <c r="G31" s="6"/>
      <c r="H31" s="6"/>
      <c r="I31" s="6"/>
      <c r="J31" s="6"/>
    </row>
    <row r="32" spans="1:11" hidden="1">
      <c r="A32" s="7"/>
      <c r="B32" s="12"/>
      <c r="C32" s="13"/>
      <c r="D32" s="12"/>
      <c r="E32" s="13"/>
      <c r="F32" s="6"/>
      <c r="G32" s="6"/>
      <c r="H32" s="6"/>
      <c r="I32" s="6"/>
      <c r="J32" s="6"/>
    </row>
    <row r="33" spans="1:10" hidden="1">
      <c r="A33" s="7"/>
      <c r="B33" s="12"/>
      <c r="C33" s="13"/>
      <c r="D33" s="12"/>
      <c r="E33" s="13"/>
      <c r="F33" s="6"/>
      <c r="G33" s="6"/>
      <c r="H33" s="6"/>
      <c r="I33" s="6"/>
      <c r="J33" s="6"/>
    </row>
    <row r="34" spans="1:10" hidden="1">
      <c r="C34" s="5"/>
      <c r="D34" s="4"/>
      <c r="E34" s="5"/>
      <c r="F34" s="5"/>
      <c r="G34" s="5"/>
      <c r="H34" s="5"/>
      <c r="I34" s="5"/>
      <c r="J34" s="5"/>
    </row>
    <row r="35" spans="1:10" hidden="1">
      <c r="D35" s="4"/>
      <c r="E35" s="5"/>
      <c r="F35" s="5"/>
      <c r="G35" s="5"/>
      <c r="H35" s="5"/>
      <c r="I35" s="5"/>
      <c r="J35" s="5"/>
    </row>
    <row r="36" spans="1:10" hidden="1">
      <c r="D36" s="4"/>
      <c r="E36" s="5"/>
      <c r="F36" s="5"/>
      <c r="G36" s="5"/>
      <c r="H36" s="5"/>
      <c r="I36" s="5"/>
      <c r="J36" s="5"/>
    </row>
    <row r="37" spans="1:10" hidden="1">
      <c r="B37" s="4"/>
      <c r="C37" s="5"/>
      <c r="D37" s="4"/>
      <c r="E37" s="5"/>
      <c r="F37" s="5"/>
      <c r="G37" s="5"/>
      <c r="H37" s="5"/>
      <c r="I37" s="5"/>
      <c r="J37" s="5"/>
    </row>
    <row r="38" spans="1:10" hidden="1">
      <c r="B38" s="4"/>
      <c r="C38" s="5"/>
      <c r="D38" s="4"/>
      <c r="E38" s="5"/>
      <c r="F38" s="5"/>
      <c r="G38" s="5"/>
      <c r="H38" s="5"/>
      <c r="I38" s="5"/>
      <c r="J38" s="5"/>
    </row>
    <row r="39" spans="1:10" hidden="1">
      <c r="B39" s="4"/>
      <c r="C39" s="5"/>
      <c r="D39" s="4"/>
      <c r="E39" s="5"/>
      <c r="F39" s="5"/>
      <c r="G39" s="5"/>
      <c r="H39" s="5"/>
      <c r="I39" s="5"/>
      <c r="J39" s="5"/>
    </row>
    <row r="40" spans="1:10" hidden="1">
      <c r="B40" s="4"/>
      <c r="C40" s="5"/>
      <c r="D40" s="4"/>
      <c r="E40" s="5"/>
      <c r="F40" s="5"/>
      <c r="G40" s="5"/>
      <c r="H40" s="5"/>
      <c r="I40" s="5"/>
      <c r="J40" s="5"/>
    </row>
  </sheetData>
  <mergeCells count="82">
    <mergeCell ref="B18:B19"/>
    <mergeCell ref="C18:C19"/>
    <mergeCell ref="D18:D19"/>
    <mergeCell ref="F18:F19"/>
    <mergeCell ref="A12:A13"/>
    <mergeCell ref="B12:B13"/>
    <mergeCell ref="C12:C13"/>
    <mergeCell ref="D12:D13"/>
    <mergeCell ref="F12:F13"/>
    <mergeCell ref="K12:K13"/>
    <mergeCell ref="G12:G13"/>
    <mergeCell ref="H12:H13"/>
    <mergeCell ref="I12:I13"/>
    <mergeCell ref="K10:K11"/>
    <mergeCell ref="G10:G11"/>
    <mergeCell ref="H10:H11"/>
    <mergeCell ref="I10:I11"/>
    <mergeCell ref="J2:J19"/>
    <mergeCell ref="G16:G17"/>
    <mergeCell ref="H16:H17"/>
    <mergeCell ref="I16:I17"/>
    <mergeCell ref="G18:G19"/>
    <mergeCell ref="H18:H19"/>
    <mergeCell ref="I18:I19"/>
    <mergeCell ref="K16:K17"/>
    <mergeCell ref="K18:K19"/>
    <mergeCell ref="A14:A15"/>
    <mergeCell ref="B14:B15"/>
    <mergeCell ref="C14:C15"/>
    <mergeCell ref="D14:D15"/>
    <mergeCell ref="F14:F15"/>
    <mergeCell ref="K14:K15"/>
    <mergeCell ref="G14:G15"/>
    <mergeCell ref="H14:H15"/>
    <mergeCell ref="I14:I15"/>
    <mergeCell ref="A16:A17"/>
    <mergeCell ref="B16:B17"/>
    <mergeCell ref="C16:C17"/>
    <mergeCell ref="D16:D17"/>
    <mergeCell ref="F16:F17"/>
    <mergeCell ref="A18:A19"/>
    <mergeCell ref="C10:C11"/>
    <mergeCell ref="D10:D11"/>
    <mergeCell ref="F10:F11"/>
    <mergeCell ref="A8:A9"/>
    <mergeCell ref="B8:B9"/>
    <mergeCell ref="C8:C9"/>
    <mergeCell ref="D8:D9"/>
    <mergeCell ref="F8:F9"/>
    <mergeCell ref="A10:A11"/>
    <mergeCell ref="B10:B11"/>
    <mergeCell ref="I8:I9"/>
    <mergeCell ref="K6:K7"/>
    <mergeCell ref="G6:G7"/>
    <mergeCell ref="H6:H7"/>
    <mergeCell ref="I6:I7"/>
    <mergeCell ref="K8:K9"/>
    <mergeCell ref="G8:G9"/>
    <mergeCell ref="H8:H9"/>
    <mergeCell ref="G4:G5"/>
    <mergeCell ref="H4:H5"/>
    <mergeCell ref="I4:I5"/>
    <mergeCell ref="K2:K3"/>
    <mergeCell ref="G2:G3"/>
    <mergeCell ref="H2:H3"/>
    <mergeCell ref="I2:I3"/>
    <mergeCell ref="K4:K5"/>
    <mergeCell ref="F2:F3"/>
    <mergeCell ref="A2:A3"/>
    <mergeCell ref="B2:B3"/>
    <mergeCell ref="C2:C3"/>
    <mergeCell ref="D2:D3"/>
    <mergeCell ref="A4:A5"/>
    <mergeCell ref="B4:B5"/>
    <mergeCell ref="C4:C5"/>
    <mergeCell ref="D4:D5"/>
    <mergeCell ref="F4:F5"/>
    <mergeCell ref="A6:A7"/>
    <mergeCell ref="B6:B7"/>
    <mergeCell ref="C6:C7"/>
    <mergeCell ref="D6:D7"/>
    <mergeCell ref="F6:F7"/>
  </mergeCells>
  <conditionalFormatting sqref="G2 G4 G6 G8 G10 G12 G14 G16 G18 G20">
    <cfRule type="cellIs" dxfId="42" priority="8" operator="equal">
      <formula>"Under Preparation"</formula>
    </cfRule>
    <cfRule type="cellIs" dxfId="41" priority="9" operator="equal">
      <formula>"Prepared"</formula>
    </cfRule>
    <cfRule type="cellIs" dxfId="40" priority="10" operator="equal">
      <formula>"Uploaded in BIIS"</formula>
    </cfRule>
    <cfRule type="cellIs" dxfId="39" priority="11" operator="equal">
      <formula>"Forwarded to Gradesheet Scrutinizer"</formula>
    </cfRule>
  </conditionalFormatting>
  <conditionalFormatting sqref="I2 I4 I6 I8 I10 I12 I14 I16 I18 I20">
    <cfRule type="cellIs" dxfId="38" priority="4" operator="equal">
      <formula>"Under Scrutiny"</formula>
    </cfRule>
    <cfRule type="cellIs" dxfId="37" priority="5" operator="equal">
      <formula>"Scrutinized"</formula>
    </cfRule>
    <cfRule type="cellIs" dxfId="36" priority="6" operator="equal">
      <formula>"Submitted"</formula>
    </cfRule>
    <cfRule type="cellIs" dxfId="35" priority="7" operator="equal">
      <formula>"Forwarded to HOD"</formula>
    </cfRule>
  </conditionalFormatting>
  <dataValidations count="3">
    <dataValidation type="list" allowBlank="1" showInputMessage="1" showErrorMessage="1" sqref="F2:F20 H2:H20" xr:uid="{BD40C395-C213-4E23-BCB3-ECD9851F245B}">
      <formula1>Faculty_List</formula1>
    </dataValidation>
    <dataValidation type="list" allowBlank="1" showInputMessage="1" showErrorMessage="1" sqref="G2 G4 G6 G8 G10 G12 G14 G16 G18 G20" xr:uid="{E128C3A0-8AE7-40C9-9C87-0819DE37267A}">
      <formula1>GradesheetPrepStatus</formula1>
    </dataValidation>
    <dataValidation type="list" allowBlank="1" showInputMessage="1" showErrorMessage="1" sqref="I2 I4 I6 I8 I10 I12 I14 I16 I18 I20" xr:uid="{37F99F89-B0E5-49E8-91A8-EA544F265259}">
      <formula1>GradesheetScrutinyStatus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7F328-AC54-43AA-A2D4-2855E4E9C63D}">
  <dimension ref="A1:Z62"/>
  <sheetViews>
    <sheetView showGridLines="0" zoomScaleNormal="100" workbookViewId="0">
      <pane xSplit="2" ySplit="2" topLeftCell="O3" activePane="bottomRight" state="frozen"/>
      <selection pane="bottomRight" activeCell="I1" sqref="I1:L2"/>
      <selection pane="bottomLeft" activeCell="A3" sqref="A3"/>
      <selection pane="topRight" activeCell="C1" sqref="C1"/>
    </sheetView>
  </sheetViews>
  <sheetFormatPr defaultColWidth="0" defaultRowHeight="15" zeroHeight="1"/>
  <cols>
    <col min="1" max="1" width="7.42578125" style="17" bestFit="1" customWidth="1"/>
    <col min="2" max="2" width="15.5703125" bestFit="1" customWidth="1"/>
    <col min="3" max="3" width="38" hidden="1" customWidth="1"/>
    <col min="4" max="4" width="29.42578125" customWidth="1"/>
    <col min="5" max="5" width="18" customWidth="1"/>
    <col min="6" max="6" width="28.28515625" bestFit="1" customWidth="1"/>
    <col min="7" max="8" width="18" customWidth="1"/>
    <col min="9" max="9" width="21.42578125" bestFit="1" customWidth="1"/>
    <col min="10" max="10" width="12.42578125" bestFit="1" customWidth="1"/>
    <col min="11" max="11" width="28.28515625" bestFit="1" customWidth="1"/>
    <col min="12" max="12" width="12.42578125" bestFit="1" customWidth="1"/>
    <col min="13" max="13" width="28.28515625" bestFit="1" customWidth="1"/>
    <col min="14" max="14" width="15.85546875" bestFit="1" customWidth="1"/>
    <col min="15" max="15" width="28.28515625" bestFit="1" customWidth="1"/>
    <col min="16" max="16" width="13.28515625" bestFit="1" customWidth="1"/>
    <col min="17" max="17" width="28.28515625" bestFit="1" customWidth="1"/>
    <col min="18" max="18" width="14" bestFit="1" customWidth="1"/>
    <col min="19" max="19" width="28.28515625" bestFit="1" customWidth="1"/>
    <col min="20" max="20" width="20" customWidth="1"/>
    <col min="21" max="21" width="28.28515625" bestFit="1" customWidth="1"/>
    <col min="22" max="23" width="20" customWidth="1"/>
    <col min="24" max="24" width="18.140625" customWidth="1"/>
    <col min="25" max="26" width="8.7109375" customWidth="1"/>
    <col min="27" max="27" width="8.7109375" hidden="1" customWidth="1"/>
    <col min="28" max="16384" width="8.7109375" hidden="1"/>
  </cols>
  <sheetData>
    <row r="1" spans="1:24" s="18" customFormat="1" ht="19.5" customHeight="1" thickBot="1">
      <c r="B1" s="415" t="s">
        <v>145</v>
      </c>
      <c r="C1" s="416"/>
      <c r="D1" s="408" t="s">
        <v>146</v>
      </c>
      <c r="E1" s="409"/>
      <c r="F1" s="409"/>
      <c r="G1" s="409"/>
      <c r="H1" s="409"/>
      <c r="I1" s="417" t="s">
        <v>147</v>
      </c>
      <c r="J1" s="418"/>
      <c r="K1" s="418"/>
      <c r="L1" s="419"/>
      <c r="M1" s="420" t="s">
        <v>148</v>
      </c>
      <c r="N1" s="420"/>
      <c r="O1" s="420"/>
      <c r="P1" s="421"/>
      <c r="Q1" s="404" t="s">
        <v>149</v>
      </c>
      <c r="R1" s="405"/>
      <c r="S1" s="422" t="s">
        <v>150</v>
      </c>
      <c r="T1" s="423"/>
      <c r="U1" s="404" t="s">
        <v>151</v>
      </c>
      <c r="V1" s="405"/>
      <c r="W1" s="406" t="s">
        <v>144</v>
      </c>
      <c r="X1" s="413" t="s">
        <v>31</v>
      </c>
    </row>
    <row r="2" spans="1:24" ht="42" customHeight="1" thickBot="1">
      <c r="A2" s="19" t="str">
        <f>'01_Theory Course List'!B1</f>
        <v>SL No.</v>
      </c>
      <c r="B2" s="191" t="str">
        <f>'01_Theory Course List'!C1</f>
        <v>Course Code</v>
      </c>
      <c r="C2" s="190" t="str">
        <f>'01_Theory Course List'!D1</f>
        <v>Course Title</v>
      </c>
      <c r="D2" s="207" t="s">
        <v>152</v>
      </c>
      <c r="E2" s="208" t="s">
        <v>153</v>
      </c>
      <c r="F2" s="207" t="s">
        <v>154</v>
      </c>
      <c r="G2" s="208" t="s">
        <v>155</v>
      </c>
      <c r="H2" s="214" t="s">
        <v>156</v>
      </c>
      <c r="I2" s="284" t="s">
        <v>157</v>
      </c>
      <c r="J2" s="285" t="s">
        <v>158</v>
      </c>
      <c r="K2" s="286" t="s">
        <v>159</v>
      </c>
      <c r="L2" s="287" t="s">
        <v>160</v>
      </c>
      <c r="M2" s="288" t="s">
        <v>161</v>
      </c>
      <c r="N2" s="210" t="s">
        <v>162</v>
      </c>
      <c r="O2" s="209" t="s">
        <v>163</v>
      </c>
      <c r="P2" s="210" t="s">
        <v>164</v>
      </c>
      <c r="Q2" s="212" t="s">
        <v>165</v>
      </c>
      <c r="R2" s="213" t="s">
        <v>166</v>
      </c>
      <c r="S2" s="50" t="s">
        <v>140</v>
      </c>
      <c r="T2" s="51" t="s">
        <v>141</v>
      </c>
      <c r="U2" s="212" t="s">
        <v>142</v>
      </c>
      <c r="V2" s="213" t="s">
        <v>167</v>
      </c>
      <c r="W2" s="407"/>
      <c r="X2" s="414"/>
    </row>
    <row r="3" spans="1:24">
      <c r="A3" s="20">
        <f>'01_Theory Course List'!B2</f>
        <v>1</v>
      </c>
      <c r="B3" s="140" t="str">
        <f>'01_Theory Course List'!C2</f>
        <v>BME 101</v>
      </c>
      <c r="C3" s="137" t="str">
        <f>'01_Theory Course List'!D2</f>
        <v>Introduction to Biomedical Engineering</v>
      </c>
      <c r="D3" s="22" t="s">
        <v>36</v>
      </c>
      <c r="E3" s="27"/>
      <c r="F3" s="22" t="s">
        <v>37</v>
      </c>
      <c r="G3" s="29"/>
      <c r="H3" s="410"/>
      <c r="I3" s="22" t="s">
        <v>65</v>
      </c>
      <c r="J3" s="30"/>
      <c r="K3" s="133" t="s">
        <v>52</v>
      </c>
      <c r="L3" s="30"/>
      <c r="M3" s="28" t="str">
        <f>D3</f>
        <v>Dr. M. Tarik Arafat</v>
      </c>
      <c r="N3" s="26"/>
      <c r="O3" s="28" t="str">
        <f>F3</f>
        <v>Dr. Jahid Ferdous</v>
      </c>
      <c r="P3" s="26"/>
      <c r="Q3" s="28" t="s">
        <v>52</v>
      </c>
      <c r="R3" s="26"/>
      <c r="S3" s="28" t="s">
        <v>36</v>
      </c>
      <c r="T3" s="26"/>
      <c r="U3" s="28" t="s">
        <v>52</v>
      </c>
      <c r="V3" s="26"/>
      <c r="W3" s="424"/>
      <c r="X3" s="219"/>
    </row>
    <row r="4" spans="1:24">
      <c r="A4" s="31">
        <f>'01_Theory Course List'!B3</f>
        <v>2</v>
      </c>
      <c r="B4" s="141" t="str">
        <f>'01_Theory Course List'!C3</f>
        <v>BME 201</v>
      </c>
      <c r="C4" s="138" t="str">
        <f>'01_Theory Course List'!D3</f>
        <v>Biomechanics</v>
      </c>
      <c r="D4" s="34" t="s">
        <v>40</v>
      </c>
      <c r="E4" s="38"/>
      <c r="F4" s="34" t="s">
        <v>41</v>
      </c>
      <c r="G4" s="36"/>
      <c r="H4" s="411"/>
      <c r="I4" s="34" t="s">
        <v>36</v>
      </c>
      <c r="J4" s="38"/>
      <c r="K4" s="134" t="s">
        <v>37</v>
      </c>
      <c r="L4" s="38"/>
      <c r="M4" s="34" t="str">
        <f t="shared" ref="M4:M15" si="0">D4</f>
        <v>Mr. Md. Abdullah Al Mamun</v>
      </c>
      <c r="N4" s="38"/>
      <c r="O4" s="34" t="str">
        <f t="shared" ref="O4:O15" si="1">F4</f>
        <v>Ms. Srija Sarker Anannya</v>
      </c>
      <c r="P4" s="38"/>
      <c r="Q4" s="34" t="s">
        <v>49</v>
      </c>
      <c r="R4" s="38"/>
      <c r="S4" s="34" t="s">
        <v>40</v>
      </c>
      <c r="T4" s="38"/>
      <c r="U4" s="34" t="s">
        <v>49</v>
      </c>
      <c r="V4" s="38"/>
      <c r="W4" s="425"/>
      <c r="X4" s="220"/>
    </row>
    <row r="5" spans="1:24">
      <c r="A5" s="31">
        <f>'01_Theory Course List'!B4</f>
        <v>3</v>
      </c>
      <c r="B5" s="141" t="str">
        <f>'01_Theory Course List'!C4</f>
        <v>BME 203</v>
      </c>
      <c r="C5" s="138" t="str">
        <f>'01_Theory Course List'!D4</f>
        <v>Human Physiology</v>
      </c>
      <c r="D5" s="34" t="s">
        <v>44</v>
      </c>
      <c r="E5" s="38"/>
      <c r="F5" s="34" t="s">
        <v>45</v>
      </c>
      <c r="G5" s="36"/>
      <c r="H5" s="411"/>
      <c r="I5" s="34" t="s">
        <v>37</v>
      </c>
      <c r="J5" s="38"/>
      <c r="K5" s="134" t="s">
        <v>48</v>
      </c>
      <c r="L5" s="38"/>
      <c r="M5" s="34" t="str">
        <f t="shared" si="0"/>
        <v>Ms. Tasnia Binte Mamun</v>
      </c>
      <c r="N5" s="38"/>
      <c r="O5" s="34" t="str">
        <f t="shared" si="1"/>
        <v>Ms. Chaity Chakraborty</v>
      </c>
      <c r="P5" s="38"/>
      <c r="Q5" s="34" t="s">
        <v>58</v>
      </c>
      <c r="R5" s="38"/>
      <c r="S5" s="34" t="s">
        <v>44</v>
      </c>
      <c r="T5" s="38"/>
      <c r="U5" s="34" t="s">
        <v>58</v>
      </c>
      <c r="V5" s="38"/>
      <c r="W5" s="425"/>
      <c r="X5" s="220"/>
    </row>
    <row r="6" spans="1:24">
      <c r="A6" s="31">
        <f>'01_Theory Course List'!B5</f>
        <v>4</v>
      </c>
      <c r="B6" s="141" t="str">
        <f>'01_Theory Course List'!C5</f>
        <v>BME 211</v>
      </c>
      <c r="C6" s="138" t="str">
        <f>'01_Theory Course List'!D5</f>
        <v>Bioelectricity</v>
      </c>
      <c r="D6" s="34" t="s">
        <v>48</v>
      </c>
      <c r="E6" s="38"/>
      <c r="F6" s="34" t="s">
        <v>49</v>
      </c>
      <c r="G6" s="36"/>
      <c r="H6" s="411"/>
      <c r="I6" s="34" t="s">
        <v>36</v>
      </c>
      <c r="J6" s="38"/>
      <c r="K6" s="134" t="s">
        <v>52</v>
      </c>
      <c r="L6" s="38"/>
      <c r="M6" s="34" t="str">
        <f t="shared" si="0"/>
        <v>Mr. Samiul Based Shuvo</v>
      </c>
      <c r="N6" s="38"/>
      <c r="O6" s="34" t="str">
        <f t="shared" si="1"/>
        <v>Mr. Sadman Sakib Himel</v>
      </c>
      <c r="P6" s="38"/>
      <c r="Q6" s="34" t="s">
        <v>40</v>
      </c>
      <c r="R6" s="38"/>
      <c r="S6" s="34" t="s">
        <v>48</v>
      </c>
      <c r="T6" s="38"/>
      <c r="U6" s="34" t="s">
        <v>40</v>
      </c>
      <c r="V6" s="38"/>
      <c r="W6" s="425"/>
      <c r="X6" s="220"/>
    </row>
    <row r="7" spans="1:24">
      <c r="A7" s="31">
        <f>'01_Theory Course List'!B6</f>
        <v>5</v>
      </c>
      <c r="B7" s="141" t="str">
        <f>'01_Theory Course List'!C6</f>
        <v>BME 205</v>
      </c>
      <c r="C7" s="138" t="str">
        <f>'01_Theory Course List'!D6</f>
        <v>Biofluid Mechanics and Heat Transfer</v>
      </c>
      <c r="D7" s="34" t="s">
        <v>52</v>
      </c>
      <c r="E7" s="38"/>
      <c r="F7" s="34" t="s">
        <v>40</v>
      </c>
      <c r="G7" s="36"/>
      <c r="H7" s="411"/>
      <c r="I7" s="34" t="s">
        <v>36</v>
      </c>
      <c r="J7" s="38"/>
      <c r="K7" s="134" t="s">
        <v>37</v>
      </c>
      <c r="L7" s="38"/>
      <c r="M7" s="34" t="str">
        <f t="shared" si="0"/>
        <v>Mr. Shoyad Ibn Sabur Khan Nuhash</v>
      </c>
      <c r="N7" s="38"/>
      <c r="O7" s="34" t="str">
        <f t="shared" si="1"/>
        <v>Mr. Md. Abdullah Al Mamun</v>
      </c>
      <c r="P7" s="38"/>
      <c r="Q7" s="34" t="s">
        <v>44</v>
      </c>
      <c r="R7" s="38"/>
      <c r="S7" s="34" t="s">
        <v>52</v>
      </c>
      <c r="T7" s="38"/>
      <c r="U7" s="34" t="s">
        <v>44</v>
      </c>
      <c r="V7" s="38"/>
      <c r="W7" s="425"/>
      <c r="X7" s="220"/>
    </row>
    <row r="8" spans="1:24">
      <c r="A8" s="31">
        <f>'01_Theory Course List'!B7</f>
        <v>6</v>
      </c>
      <c r="B8" s="141" t="str">
        <f>'01_Theory Course List'!C7</f>
        <v>BME  207</v>
      </c>
      <c r="C8" s="138" t="str">
        <f>'01_Theory Course List'!D7</f>
        <v>Biomaterials</v>
      </c>
      <c r="D8" s="34" t="s">
        <v>55</v>
      </c>
      <c r="E8" s="38"/>
      <c r="F8" s="34" t="s">
        <v>36</v>
      </c>
      <c r="G8" s="36"/>
      <c r="H8" s="411"/>
      <c r="I8" s="34" t="s">
        <v>37</v>
      </c>
      <c r="J8" s="38"/>
      <c r="K8" s="134" t="s">
        <v>48</v>
      </c>
      <c r="L8" s="38"/>
      <c r="M8" s="34" t="str">
        <f t="shared" si="0"/>
        <v>Ms. Samina Nishat Binte Akram</v>
      </c>
      <c r="N8" s="38"/>
      <c r="O8" s="34" t="str">
        <f t="shared" si="1"/>
        <v>Dr. M. Tarik Arafat</v>
      </c>
      <c r="P8" s="38"/>
      <c r="Q8" s="34" t="s">
        <v>41</v>
      </c>
      <c r="R8" s="38"/>
      <c r="S8" s="34" t="s">
        <v>55</v>
      </c>
      <c r="T8" s="38"/>
      <c r="U8" s="34" t="s">
        <v>41</v>
      </c>
      <c r="V8" s="38"/>
      <c r="W8" s="425"/>
      <c r="X8" s="220"/>
    </row>
    <row r="9" spans="1:24">
      <c r="A9" s="31">
        <f>'01_Theory Course List'!B8</f>
        <v>7</v>
      </c>
      <c r="B9" s="141" t="str">
        <f>'01_Theory Course List'!C8</f>
        <v>BME 309</v>
      </c>
      <c r="C9" s="138" t="str">
        <f>'01_Theory Course List'!D8</f>
        <v>Quantitative Physiology</v>
      </c>
      <c r="D9" s="34" t="s">
        <v>58</v>
      </c>
      <c r="E9" s="38"/>
      <c r="F9" s="34" t="s">
        <v>59</v>
      </c>
      <c r="G9" s="36"/>
      <c r="H9" s="411"/>
      <c r="I9" s="34" t="s">
        <v>37</v>
      </c>
      <c r="J9" s="38"/>
      <c r="K9" s="134" t="s">
        <v>52</v>
      </c>
      <c r="L9" s="38"/>
      <c r="M9" s="34" t="str">
        <f t="shared" si="0"/>
        <v>Mr. Md. Tazuddin Ahmed Akash</v>
      </c>
      <c r="N9" s="38"/>
      <c r="O9" s="34" t="str">
        <f t="shared" si="1"/>
        <v>Ms. Omi Bonik</v>
      </c>
      <c r="P9" s="38"/>
      <c r="Q9" s="34" t="s">
        <v>62</v>
      </c>
      <c r="R9" s="38"/>
      <c r="S9" s="34" t="s">
        <v>58</v>
      </c>
      <c r="T9" s="38"/>
      <c r="U9" s="34" t="s">
        <v>62</v>
      </c>
      <c r="V9" s="38"/>
      <c r="W9" s="425"/>
      <c r="X9" s="220"/>
    </row>
    <row r="10" spans="1:24">
      <c r="A10" s="31">
        <f>'01_Theory Course List'!B9</f>
        <v>8</v>
      </c>
      <c r="B10" s="141" t="str">
        <f>'01_Theory Course List'!C9</f>
        <v>BME 303</v>
      </c>
      <c r="C10" s="138" t="str">
        <f>'01_Theory Course List'!D9</f>
        <v>Biomedical Instrumentation and Measurements</v>
      </c>
      <c r="D10" s="34" t="s">
        <v>62</v>
      </c>
      <c r="E10" s="38"/>
      <c r="F10" s="34" t="s">
        <v>48</v>
      </c>
      <c r="G10" s="36"/>
      <c r="H10" s="411"/>
      <c r="I10" s="34" t="s">
        <v>65</v>
      </c>
      <c r="J10" s="38"/>
      <c r="K10" s="134" t="s">
        <v>52</v>
      </c>
      <c r="L10" s="38"/>
      <c r="M10" s="34" t="str">
        <f t="shared" si="0"/>
        <v>Mr. Sayeed Sajjad Razin</v>
      </c>
      <c r="N10" s="38"/>
      <c r="O10" s="34" t="str">
        <f t="shared" si="1"/>
        <v>Mr. Samiul Based Shuvo</v>
      </c>
      <c r="P10" s="38"/>
      <c r="Q10" s="34" t="s">
        <v>55</v>
      </c>
      <c r="R10" s="38"/>
      <c r="S10" s="34" t="s">
        <v>62</v>
      </c>
      <c r="T10" s="38"/>
      <c r="U10" s="34" t="s">
        <v>55</v>
      </c>
      <c r="V10" s="38"/>
      <c r="W10" s="425"/>
      <c r="X10" s="220"/>
    </row>
    <row r="11" spans="1:24">
      <c r="A11" s="31">
        <f>'01_Theory Course List'!B10</f>
        <v>9</v>
      </c>
      <c r="B11" s="141" t="str">
        <f>'01_Theory Course List'!C10</f>
        <v>BME 311</v>
      </c>
      <c r="C11" s="138" t="str">
        <f>'01_Theory Course List'!D10</f>
        <v>Biomedical Signals and Systems</v>
      </c>
      <c r="D11" s="34" t="s">
        <v>52</v>
      </c>
      <c r="E11" s="38"/>
      <c r="F11" s="34" t="s">
        <v>65</v>
      </c>
      <c r="G11" s="36"/>
      <c r="H11" s="411"/>
      <c r="I11" s="34" t="s">
        <v>48</v>
      </c>
      <c r="J11" s="38"/>
      <c r="K11" s="134" t="s">
        <v>36</v>
      </c>
      <c r="L11" s="38"/>
      <c r="M11" s="34" t="str">
        <f t="shared" si="0"/>
        <v>Mr. Shoyad Ibn Sabur Khan Nuhash</v>
      </c>
      <c r="N11" s="38"/>
      <c r="O11" s="34" t="str">
        <f t="shared" si="1"/>
        <v>Dr. Taufiq Hasan</v>
      </c>
      <c r="P11" s="38"/>
      <c r="Q11" s="34" t="s">
        <v>45</v>
      </c>
      <c r="R11" s="38"/>
      <c r="S11" s="34" t="s">
        <v>52</v>
      </c>
      <c r="T11" s="38"/>
      <c r="U11" s="34" t="s">
        <v>45</v>
      </c>
      <c r="V11" s="38"/>
      <c r="W11" s="425"/>
      <c r="X11" s="220"/>
    </row>
    <row r="12" spans="1:24">
      <c r="A12" s="31">
        <f>'01_Theory Course List'!B11</f>
        <v>10</v>
      </c>
      <c r="B12" s="141" t="str">
        <f>'01_Theory Course List'!C11</f>
        <v>BME 403</v>
      </c>
      <c r="C12" s="138" t="str">
        <f>'01_Theory Course List'!D11</f>
        <v>Medical Imaging</v>
      </c>
      <c r="D12" s="34" t="s">
        <v>44</v>
      </c>
      <c r="E12" s="38"/>
      <c r="F12" s="34" t="s">
        <v>52</v>
      </c>
      <c r="G12" s="36"/>
      <c r="H12" s="411"/>
      <c r="I12" s="34" t="s">
        <v>65</v>
      </c>
      <c r="J12" s="38"/>
      <c r="K12" s="134" t="s">
        <v>48</v>
      </c>
      <c r="L12" s="38"/>
      <c r="M12" s="34" t="str">
        <f t="shared" si="0"/>
        <v>Ms. Tasnia Binte Mamun</v>
      </c>
      <c r="N12" s="38"/>
      <c r="O12" s="34" t="str">
        <f t="shared" si="1"/>
        <v>Mr. Shoyad Ibn Sabur Khan Nuhash</v>
      </c>
      <c r="P12" s="38"/>
      <c r="Q12" s="34" t="s">
        <v>59</v>
      </c>
      <c r="R12" s="38"/>
      <c r="S12" s="34" t="s">
        <v>44</v>
      </c>
      <c r="T12" s="38"/>
      <c r="U12" s="34" t="s">
        <v>59</v>
      </c>
      <c r="V12" s="38"/>
      <c r="W12" s="425"/>
      <c r="X12" s="220"/>
    </row>
    <row r="13" spans="1:24">
      <c r="A13" s="31">
        <f>'01_Theory Course List'!B12</f>
        <v>11</v>
      </c>
      <c r="B13" s="141" t="str">
        <f>'01_Theory Course List'!C12</f>
        <v>BME 409 (Elective)</v>
      </c>
      <c r="C13" s="138" t="str">
        <f>'01_Theory Course List'!D12</f>
        <v>Tissue Engineering and Regenerative Medicine</v>
      </c>
      <c r="D13" s="34" t="s">
        <v>41</v>
      </c>
      <c r="E13" s="38"/>
      <c r="F13" s="34" t="s">
        <v>45</v>
      </c>
      <c r="G13" s="36"/>
      <c r="H13" s="411"/>
      <c r="I13" s="34" t="s">
        <v>36</v>
      </c>
      <c r="J13" s="38"/>
      <c r="K13" s="134" t="s">
        <v>37</v>
      </c>
      <c r="L13" s="38"/>
      <c r="M13" s="34" t="str">
        <f t="shared" si="0"/>
        <v>Ms. Srija Sarker Anannya</v>
      </c>
      <c r="N13" s="38"/>
      <c r="O13" s="34" t="str">
        <f t="shared" si="1"/>
        <v>Ms. Chaity Chakraborty</v>
      </c>
      <c r="P13" s="38"/>
      <c r="Q13" s="34" t="s">
        <v>48</v>
      </c>
      <c r="R13" s="38"/>
      <c r="S13" s="34" t="s">
        <v>41</v>
      </c>
      <c r="T13" s="38"/>
      <c r="U13" s="34" t="s">
        <v>48</v>
      </c>
      <c r="V13" s="38"/>
      <c r="W13" s="425"/>
      <c r="X13" s="220"/>
    </row>
    <row r="14" spans="1:24">
      <c r="A14" s="31">
        <f>'01_Theory Course List'!B13</f>
        <v>12</v>
      </c>
      <c r="B14" s="141" t="str">
        <f>'01_Theory Course List'!C13</f>
        <v>BME 449 (Elective)</v>
      </c>
      <c r="C14" s="138" t="str">
        <f>'01_Theory Course List'!D13</f>
        <v>Machine Learning for Biomedical Engineers</v>
      </c>
      <c r="D14" s="34" t="s">
        <v>65</v>
      </c>
      <c r="E14" s="38"/>
      <c r="F14" s="34" t="s">
        <v>62</v>
      </c>
      <c r="G14" s="36"/>
      <c r="H14" s="411"/>
      <c r="I14" s="34" t="s">
        <v>48</v>
      </c>
      <c r="J14" s="38"/>
      <c r="K14" s="134" t="s">
        <v>52</v>
      </c>
      <c r="L14" s="38"/>
      <c r="M14" s="34" t="str">
        <f t="shared" si="0"/>
        <v>Dr. Taufiq Hasan</v>
      </c>
      <c r="N14" s="38"/>
      <c r="O14" s="34" t="str">
        <f t="shared" si="1"/>
        <v>Mr. Sayeed Sajjad Razin</v>
      </c>
      <c r="P14" s="38"/>
      <c r="Q14" s="34" t="s">
        <v>52</v>
      </c>
      <c r="R14" s="38"/>
      <c r="S14" s="34" t="s">
        <v>65</v>
      </c>
      <c r="T14" s="38"/>
      <c r="U14" s="34" t="s">
        <v>52</v>
      </c>
      <c r="V14" s="38"/>
      <c r="W14" s="425"/>
      <c r="X14" s="220"/>
    </row>
    <row r="15" spans="1:24" ht="15.75" thickBot="1">
      <c r="A15" s="39">
        <f>'01_Theory Course List'!B14</f>
        <v>13</v>
      </c>
      <c r="B15" s="142" t="str">
        <f>'01_Theory Course List'!C14</f>
        <v>BME 441 (Elective)</v>
      </c>
      <c r="C15" s="139" t="str">
        <f>'01_Theory Course List'!D14</f>
        <v>Neural Engineering</v>
      </c>
      <c r="D15" s="41" t="s">
        <v>58</v>
      </c>
      <c r="E15" s="45"/>
      <c r="F15" s="41" t="s">
        <v>48</v>
      </c>
      <c r="G15" s="43"/>
      <c r="H15" s="412"/>
      <c r="I15" s="41" t="s">
        <v>65</v>
      </c>
      <c r="J15" s="45"/>
      <c r="K15" s="135" t="s">
        <v>52</v>
      </c>
      <c r="L15" s="45"/>
      <c r="M15" s="41" t="str">
        <f t="shared" si="0"/>
        <v>Mr. Md. Tazuddin Ahmed Akash</v>
      </c>
      <c r="N15" s="45"/>
      <c r="O15" s="41" t="str">
        <f t="shared" si="1"/>
        <v>Mr. Samiul Based Shuvo</v>
      </c>
      <c r="P15" s="45"/>
      <c r="Q15" s="41" t="s">
        <v>40</v>
      </c>
      <c r="R15" s="45"/>
      <c r="S15" s="41" t="s">
        <v>58</v>
      </c>
      <c r="T15" s="45"/>
      <c r="U15" s="41" t="s">
        <v>40</v>
      </c>
      <c r="V15" s="45"/>
      <c r="W15" s="426"/>
      <c r="X15" s="221"/>
    </row>
    <row r="16" spans="1:24" hidden="1">
      <c r="A16" s="158" t="str">
        <f>IF('01_Theory Course List'!B15 = "", "", '01_Theory Course List'!B15)</f>
        <v/>
      </c>
      <c r="B16" s="158" t="str">
        <f>IF('01_Theory Course List'!C15 = "", "", '01_Theory Course List'!C15)</f>
        <v/>
      </c>
      <c r="C16" s="159" t="str">
        <f>IFERROR(INDEX('01_Theory Course List'!$D$2:$D$479,MATCH(B16,'01_Theory Course List'!$C$2:$C$479,0)),"")</f>
        <v/>
      </c>
      <c r="D16" s="204"/>
      <c r="E16" s="75"/>
      <c r="F16" s="204"/>
      <c r="G16" s="75"/>
      <c r="H16" s="75"/>
      <c r="I16" s="204"/>
      <c r="J16" s="75"/>
      <c r="K16" s="75"/>
      <c r="L16" s="75"/>
      <c r="M16" s="204"/>
      <c r="N16" s="75"/>
      <c r="O16" s="204"/>
      <c r="P16" s="75"/>
      <c r="Q16" s="204"/>
      <c r="R16" s="75"/>
      <c r="S16" s="204"/>
      <c r="T16" s="75"/>
      <c r="U16" s="204"/>
      <c r="V16" s="75"/>
      <c r="W16" s="205"/>
      <c r="X16" s="427"/>
    </row>
    <row r="17" spans="1:24" hidden="1">
      <c r="A17" s="158" t="str">
        <f>IF('01_Theory Course List'!B16 = "", "", '01_Theory Course List'!B16)</f>
        <v/>
      </c>
      <c r="B17" s="158" t="str">
        <f>IF('01_Theory Course List'!C16 = "", "", '01_Theory Course List'!C16)</f>
        <v/>
      </c>
      <c r="C17" s="159" t="str">
        <f>IFERROR(INDEX('01_Theory Course List'!$D$2:$D$479,MATCH(B17,'01_Theory Course List'!$C$2:$C$479,0)),"")</f>
        <v/>
      </c>
      <c r="D17" s="204"/>
      <c r="E17" s="75"/>
      <c r="F17" s="204"/>
      <c r="G17" s="75"/>
      <c r="H17" s="75"/>
      <c r="I17" s="204"/>
      <c r="J17" s="75"/>
      <c r="K17" s="75"/>
      <c r="L17" s="75"/>
      <c r="M17" s="204"/>
      <c r="N17" s="75"/>
      <c r="O17" s="204"/>
      <c r="P17" s="75"/>
      <c r="Q17" s="204"/>
      <c r="R17" s="75"/>
      <c r="S17" s="204"/>
      <c r="T17" s="75"/>
      <c r="U17" s="204"/>
      <c r="V17" s="75"/>
      <c r="W17" s="205"/>
      <c r="X17" s="427"/>
    </row>
    <row r="18" spans="1:24" hidden="1">
      <c r="A18" s="158" t="str">
        <f>IF('01_Theory Course List'!B17 = "", "", '01_Theory Course List'!B17)</f>
        <v/>
      </c>
      <c r="B18" s="158" t="str">
        <f>IF('01_Theory Course List'!C17 = "", "", '01_Theory Course List'!C17)</f>
        <v/>
      </c>
      <c r="C18" s="159" t="str">
        <f>IFERROR(INDEX('01_Theory Course List'!$D$2:$D$479,MATCH(B18,'01_Theory Course List'!$C$2:$C$479,0)),"")</f>
        <v/>
      </c>
      <c r="D18" s="204"/>
      <c r="E18" s="75"/>
      <c r="F18" s="204"/>
      <c r="G18" s="75"/>
      <c r="H18" s="75"/>
      <c r="I18" s="204"/>
      <c r="J18" s="75"/>
      <c r="K18" s="75"/>
      <c r="L18" s="75"/>
      <c r="M18" s="204"/>
      <c r="N18" s="75"/>
      <c r="O18" s="204"/>
      <c r="P18" s="75"/>
      <c r="Q18" s="204"/>
      <c r="R18" s="75"/>
      <c r="S18" s="204"/>
      <c r="T18" s="75"/>
      <c r="U18" s="204"/>
      <c r="V18" s="75"/>
      <c r="W18" s="205"/>
      <c r="X18" s="427"/>
    </row>
    <row r="19" spans="1:24" hidden="1">
      <c r="A19" s="158" t="str">
        <f>IF('01_Theory Course List'!B18 = "", "", '01_Theory Course List'!B18)</f>
        <v/>
      </c>
      <c r="B19" s="158" t="str">
        <f>IF('01_Theory Course List'!C18 = "", "", '01_Theory Course List'!C18)</f>
        <v/>
      </c>
      <c r="C19" s="159" t="str">
        <f>IFERROR(INDEX('01_Theory Course List'!$D$2:$D$479,MATCH(B19,'01_Theory Course List'!$C$2:$C$479,0)),"")</f>
        <v/>
      </c>
      <c r="D19" s="204"/>
      <c r="E19" s="75"/>
      <c r="F19" s="204"/>
      <c r="G19" s="75"/>
      <c r="H19" s="75"/>
      <c r="I19" s="204"/>
      <c r="J19" s="75"/>
      <c r="K19" s="75"/>
      <c r="L19" s="75"/>
      <c r="M19" s="204"/>
      <c r="N19" s="75"/>
      <c r="O19" s="204"/>
      <c r="P19" s="75"/>
      <c r="Q19" s="204"/>
      <c r="R19" s="75"/>
      <c r="S19" s="204"/>
      <c r="T19" s="75"/>
      <c r="U19" s="204"/>
      <c r="V19" s="75"/>
      <c r="W19" s="205"/>
      <c r="X19" s="427"/>
    </row>
    <row r="20" spans="1:24" hidden="1">
      <c r="A20" s="158" t="str">
        <f>IF('01_Theory Course List'!B19 = "", "", '01_Theory Course List'!B19)</f>
        <v/>
      </c>
      <c r="B20" s="158" t="str">
        <f>IF('01_Theory Course List'!C19 = "", "", '01_Theory Course List'!C19)</f>
        <v/>
      </c>
      <c r="C20" s="159" t="str">
        <f>IFERROR(INDEX('01_Theory Course List'!$D$2:$D$479,MATCH(B20,'01_Theory Course List'!$C$2:$C$479,0)),"")</f>
        <v/>
      </c>
      <c r="D20" s="204"/>
      <c r="E20" s="75"/>
      <c r="F20" s="204"/>
      <c r="G20" s="75"/>
      <c r="H20" s="75"/>
      <c r="I20" s="204"/>
      <c r="J20" s="75"/>
      <c r="K20" s="75"/>
      <c r="L20" s="75"/>
      <c r="M20" s="204"/>
      <c r="N20" s="75"/>
      <c r="O20" s="204"/>
      <c r="P20" s="75"/>
      <c r="Q20" s="204"/>
      <c r="R20" s="75"/>
      <c r="S20" s="204"/>
      <c r="T20" s="75"/>
      <c r="U20" s="204"/>
      <c r="V20" s="75"/>
      <c r="W20" s="205"/>
      <c r="X20" s="427"/>
    </row>
    <row r="21" spans="1:24" ht="15" hidden="1" customHeight="1">
      <c r="A21" s="158"/>
      <c r="B21" s="158" t="str">
        <f>IF('01_Theory Course List'!C20 = "", "", '01_Theory Course List'!C20)</f>
        <v/>
      </c>
      <c r="C21" s="159" t="str">
        <f>IFERROR(INDEX('01_Theory Course List'!$D$2:$D$479,MATCH(B21,'01_Theory Course List'!$C$2:$C$479,0)),"")</f>
        <v/>
      </c>
      <c r="D21" s="204"/>
      <c r="E21" s="75"/>
      <c r="F21" s="204"/>
      <c r="G21" s="75"/>
      <c r="H21" s="75"/>
      <c r="I21" s="204"/>
      <c r="J21" s="75"/>
      <c r="K21" s="75"/>
      <c r="L21" s="75"/>
      <c r="M21" s="204"/>
      <c r="N21" s="75"/>
      <c r="O21" s="204"/>
      <c r="P21" s="75"/>
      <c r="Q21" s="204"/>
      <c r="R21" s="75"/>
      <c r="S21" s="204"/>
      <c r="T21" s="75"/>
      <c r="U21" s="204"/>
      <c r="V21" s="75"/>
      <c r="W21" s="205"/>
      <c r="X21" s="427"/>
    </row>
    <row r="22" spans="1:24" ht="15" hidden="1" customHeight="1">
      <c r="A22" s="158"/>
      <c r="B22" s="158" t="str">
        <f>IF('01_Theory Course List'!C21 = "", "", '01_Theory Course List'!C21)</f>
        <v/>
      </c>
      <c r="C22" s="159" t="str">
        <f>IFERROR(INDEX('01_Theory Course List'!$D$2:$D$479,MATCH(B22,'01_Theory Course List'!$C$2:$C$479,0)),"")</f>
        <v/>
      </c>
      <c r="D22" s="204"/>
      <c r="E22" s="75"/>
      <c r="F22" s="204"/>
      <c r="G22" s="75"/>
      <c r="H22" s="75"/>
      <c r="I22" s="204"/>
      <c r="J22" s="75"/>
      <c r="K22" s="75"/>
      <c r="L22" s="75"/>
      <c r="M22" s="204"/>
      <c r="N22" s="75"/>
      <c r="O22" s="204"/>
      <c r="P22" s="75"/>
      <c r="Q22" s="204"/>
      <c r="R22" s="75"/>
      <c r="S22" s="204"/>
      <c r="T22" s="75"/>
      <c r="U22" s="204"/>
      <c r="V22" s="75"/>
      <c r="W22" s="205"/>
      <c r="X22" s="313"/>
    </row>
    <row r="23" spans="1:24" ht="15" hidden="1" customHeight="1">
      <c r="A23" s="158"/>
      <c r="B23" s="158"/>
      <c r="C23" s="159" t="str">
        <f>IFERROR(INDEX('01_Theory Course List'!$D$2:$D$479,MATCH(B23,'01_Theory Course List'!$C$2:$C$479,0)),"")</f>
        <v/>
      </c>
      <c r="D23" s="204"/>
      <c r="E23" s="75"/>
      <c r="F23" s="204"/>
      <c r="G23" s="75"/>
      <c r="H23" s="75"/>
      <c r="I23" s="204"/>
      <c r="J23" s="75"/>
      <c r="K23" s="75"/>
      <c r="L23" s="75"/>
      <c r="M23" s="204"/>
      <c r="N23" s="75"/>
      <c r="O23" s="204"/>
      <c r="P23" s="75"/>
      <c r="Q23" s="204"/>
      <c r="R23" s="75"/>
      <c r="S23" s="204"/>
      <c r="T23" s="75"/>
      <c r="U23" s="204"/>
      <c r="V23" s="75"/>
      <c r="W23" s="205"/>
      <c r="X23" s="312"/>
    </row>
    <row r="24" spans="1:24" ht="15" hidden="1" customHeight="1">
      <c r="A24" s="158"/>
      <c r="B24" s="158"/>
      <c r="C24" s="159" t="str">
        <f>IFERROR(INDEX('01_Theory Course List'!$D$2:$D$479,MATCH(B24,'01_Theory Course List'!$C$2:$C$479,0)),"")</f>
        <v/>
      </c>
      <c r="D24" s="204"/>
      <c r="E24" s="75"/>
      <c r="F24" s="204"/>
      <c r="G24" s="75"/>
      <c r="H24" s="75"/>
      <c r="I24" s="204"/>
      <c r="J24" s="75"/>
      <c r="K24" s="75"/>
      <c r="L24" s="75"/>
      <c r="M24" s="204"/>
      <c r="N24" s="75"/>
      <c r="O24" s="204"/>
      <c r="P24" s="75"/>
      <c r="Q24" s="204"/>
      <c r="R24" s="75"/>
      <c r="S24" s="204"/>
      <c r="T24" s="75"/>
      <c r="U24" s="204"/>
      <c r="V24" s="75"/>
      <c r="W24" s="205"/>
      <c r="X24" s="312"/>
    </row>
    <row r="25" spans="1:24" ht="15" hidden="1" customHeight="1">
      <c r="A25" s="158"/>
      <c r="B25" s="158"/>
      <c r="C25" s="159" t="str">
        <f>IFERROR(INDEX('01_Theory Course List'!$D$2:$D$479,MATCH(B25,'01_Theory Course List'!$C$2:$C$479,0)),"")</f>
        <v/>
      </c>
      <c r="D25" s="204"/>
      <c r="E25" s="75"/>
      <c r="F25" s="204"/>
      <c r="G25" s="75"/>
      <c r="H25" s="75"/>
      <c r="I25" s="204"/>
      <c r="J25" s="75"/>
      <c r="K25" s="75"/>
      <c r="L25" s="75"/>
      <c r="M25" s="204"/>
      <c r="N25" s="75"/>
      <c r="O25" s="204"/>
      <c r="P25" s="75"/>
      <c r="Q25" s="204"/>
      <c r="R25" s="75"/>
      <c r="S25" s="204"/>
      <c r="T25" s="75"/>
      <c r="U25" s="204"/>
      <c r="V25" s="75"/>
      <c r="W25" s="205"/>
      <c r="X25" s="312"/>
    </row>
    <row r="26" spans="1:24" ht="15" hidden="1" customHeight="1">
      <c r="A26" s="158"/>
      <c r="B26" s="158"/>
      <c r="C26" s="159" t="str">
        <f>IFERROR(INDEX('01_Theory Course List'!$D$2:$D$479,MATCH(B26,'01_Theory Course List'!$C$2:$C$479,0)),"")</f>
        <v/>
      </c>
      <c r="D26" s="204"/>
      <c r="E26" s="75"/>
      <c r="F26" s="204"/>
      <c r="G26" s="75"/>
      <c r="H26" s="75"/>
      <c r="I26" s="204"/>
      <c r="J26" s="75"/>
      <c r="K26" s="75"/>
      <c r="L26" s="75"/>
      <c r="M26" s="204"/>
      <c r="N26" s="75"/>
      <c r="O26" s="204"/>
      <c r="P26" s="75"/>
      <c r="Q26" s="204"/>
      <c r="R26" s="75"/>
      <c r="S26" s="204"/>
      <c r="T26" s="75"/>
      <c r="U26" s="204"/>
      <c r="V26" s="75"/>
      <c r="W26" s="205"/>
      <c r="X26" s="312"/>
    </row>
    <row r="27" spans="1:24" ht="15" hidden="1" customHeight="1">
      <c r="A27" s="158"/>
      <c r="B27" s="158"/>
      <c r="C27" s="159" t="str">
        <f>IFERROR(INDEX('01_Theory Course List'!$D$2:$D$479,MATCH(B27,'01_Theory Course List'!$C$2:$C$479,0)),"")</f>
        <v/>
      </c>
      <c r="D27" s="204"/>
      <c r="E27" s="75"/>
      <c r="F27" s="204"/>
      <c r="G27" s="75"/>
      <c r="H27" s="75"/>
      <c r="I27" s="204"/>
      <c r="J27" s="75"/>
      <c r="K27" s="75"/>
      <c r="L27" s="75"/>
      <c r="M27" s="204"/>
      <c r="N27" s="75"/>
      <c r="O27" s="204"/>
      <c r="P27" s="75"/>
      <c r="Q27" s="204"/>
      <c r="R27" s="75"/>
      <c r="S27" s="204"/>
      <c r="T27" s="75"/>
      <c r="U27" s="204"/>
      <c r="V27" s="75"/>
      <c r="W27" s="205"/>
      <c r="X27" s="312"/>
    </row>
    <row r="28" spans="1:24" ht="15" hidden="1" customHeight="1">
      <c r="A28" s="158"/>
      <c r="B28" s="158"/>
      <c r="C28" s="159" t="str">
        <f>IFERROR(INDEX('01_Theory Course List'!$D$2:$D$479,MATCH(B28,'01_Theory Course List'!$C$2:$C$479,0)),"")</f>
        <v/>
      </c>
      <c r="D28" s="204"/>
      <c r="E28" s="75"/>
      <c r="F28" s="204"/>
      <c r="G28" s="75"/>
      <c r="H28" s="75"/>
      <c r="I28" s="204"/>
      <c r="J28" s="75"/>
      <c r="K28" s="75"/>
      <c r="L28" s="75"/>
      <c r="M28" s="204"/>
      <c r="N28" s="75"/>
      <c r="O28" s="204"/>
      <c r="P28" s="75"/>
      <c r="Q28" s="204"/>
      <c r="R28" s="75"/>
      <c r="S28" s="204"/>
      <c r="T28" s="75"/>
      <c r="U28" s="204"/>
      <c r="V28" s="75"/>
      <c r="W28" s="205"/>
      <c r="X28" s="312"/>
    </row>
    <row r="29" spans="1:24" ht="15" hidden="1" customHeight="1">
      <c r="A29" s="158"/>
      <c r="B29" s="158"/>
      <c r="C29" s="159" t="str">
        <f>IFERROR(INDEX('01_Theory Course List'!$D$2:$D$479,MATCH(B29,'01_Theory Course List'!$C$2:$C$479,0)),"")</f>
        <v/>
      </c>
      <c r="D29" s="204"/>
      <c r="E29" s="75"/>
      <c r="F29" s="204"/>
      <c r="G29" s="75"/>
      <c r="H29" s="75"/>
      <c r="I29" s="204"/>
      <c r="J29" s="75"/>
      <c r="K29" s="75"/>
      <c r="L29" s="75"/>
      <c r="M29" s="204"/>
      <c r="N29" s="75"/>
      <c r="O29" s="204"/>
      <c r="P29" s="75"/>
      <c r="Q29" s="204"/>
      <c r="R29" s="75"/>
      <c r="S29" s="204"/>
      <c r="T29" s="75"/>
      <c r="U29" s="204"/>
      <c r="V29" s="75"/>
      <c r="W29" s="205"/>
      <c r="X29" s="312"/>
    </row>
    <row r="30" spans="1:24" ht="15" hidden="1" customHeight="1">
      <c r="A30" s="158"/>
      <c r="B30" s="158"/>
      <c r="C30" s="159" t="str">
        <f>IFERROR(INDEX('01_Theory Course List'!$D$2:$D$479,MATCH(B30,'01_Theory Course List'!$C$2:$C$479,0)),"")</f>
        <v/>
      </c>
      <c r="D30" s="204"/>
      <c r="E30" s="75"/>
      <c r="F30" s="204"/>
      <c r="G30" s="75"/>
      <c r="H30" s="75"/>
      <c r="I30" s="204"/>
      <c r="J30" s="75"/>
      <c r="K30" s="75"/>
      <c r="L30" s="75"/>
      <c r="M30" s="204"/>
      <c r="N30" s="75"/>
      <c r="O30" s="204"/>
      <c r="P30" s="75"/>
      <c r="Q30" s="204"/>
      <c r="R30" s="75"/>
      <c r="S30" s="204"/>
      <c r="T30" s="75"/>
      <c r="U30" s="204"/>
      <c r="V30" s="75"/>
      <c r="W30" s="205"/>
      <c r="X30" s="312"/>
    </row>
    <row r="31" spans="1:24" ht="15" hidden="1" customHeight="1">
      <c r="A31" s="158"/>
      <c r="B31" s="158"/>
      <c r="C31" s="159" t="str">
        <f>IFERROR(INDEX('01_Theory Course List'!$D$2:$D$479,MATCH(B31,'01_Theory Course List'!$C$2:$C$479,0)),"")</f>
        <v/>
      </c>
      <c r="D31" s="204"/>
      <c r="E31" s="75"/>
      <c r="F31" s="204"/>
      <c r="G31" s="75"/>
      <c r="H31" s="75"/>
      <c r="I31" s="204"/>
      <c r="J31" s="75"/>
      <c r="K31" s="75"/>
      <c r="L31" s="75"/>
      <c r="M31" s="204"/>
      <c r="N31" s="75"/>
      <c r="O31" s="204"/>
      <c r="P31" s="75"/>
      <c r="Q31" s="204"/>
      <c r="R31" s="75"/>
      <c r="S31" s="204"/>
      <c r="T31" s="75"/>
      <c r="U31" s="204"/>
      <c r="V31" s="75"/>
      <c r="W31" s="205"/>
      <c r="X31" s="312"/>
    </row>
    <row r="32" spans="1:24" ht="15" hidden="1" customHeight="1">
      <c r="A32" s="158"/>
      <c r="B32" s="158"/>
      <c r="C32" s="159" t="str">
        <f>IFERROR(INDEX('01_Theory Course List'!$D$2:$D$479,MATCH(B32,'01_Theory Course List'!$C$2:$C$479,0)),"")</f>
        <v/>
      </c>
      <c r="D32" s="204"/>
      <c r="E32" s="75"/>
      <c r="F32" s="204"/>
      <c r="G32" s="75"/>
      <c r="H32" s="75"/>
      <c r="I32" s="204"/>
      <c r="J32" s="75"/>
      <c r="K32" s="75"/>
      <c r="L32" s="75"/>
      <c r="M32" s="204"/>
      <c r="N32" s="75"/>
      <c r="O32" s="204"/>
      <c r="P32" s="75"/>
      <c r="Q32" s="204"/>
      <c r="R32" s="75"/>
      <c r="S32" s="204"/>
      <c r="T32" s="75"/>
      <c r="U32" s="204"/>
      <c r="V32" s="75"/>
      <c r="W32" s="205"/>
      <c r="X32" s="312"/>
    </row>
    <row r="33" spans="1:24" ht="15.75" hidden="1" customHeight="1" thickBot="1">
      <c r="A33" s="158"/>
      <c r="B33" s="158"/>
      <c r="C33" s="159" t="str">
        <f>IFERROR(INDEX('01_Theory Course List'!$D$2:$D$479,MATCH(B33,'01_Theory Course List'!$C$2:$C$479,0)),"")</f>
        <v/>
      </c>
      <c r="D33" s="204"/>
      <c r="E33" s="75"/>
      <c r="F33" s="204"/>
      <c r="G33" s="75"/>
      <c r="H33" s="75"/>
      <c r="I33" s="204"/>
      <c r="J33" s="75"/>
      <c r="K33" s="75"/>
      <c r="L33" s="75"/>
      <c r="M33" s="204"/>
      <c r="N33" s="75"/>
      <c r="O33" s="204"/>
      <c r="P33" s="75"/>
      <c r="Q33" s="204"/>
      <c r="R33" s="75"/>
      <c r="S33" s="204"/>
      <c r="T33" s="75"/>
      <c r="U33" s="204"/>
      <c r="V33" s="75"/>
      <c r="W33" s="205"/>
      <c r="X33" s="312"/>
    </row>
    <row r="34" spans="1:24" ht="15.75" hidden="1" thickBot="1">
      <c r="A34" s="158"/>
      <c r="B34" s="158"/>
      <c r="C34" s="159" t="str">
        <f>IFERROR(INDEX('01_Theory Course List'!$D$2:$D$479,MATCH(B34,'01_Theory Course List'!$C$2:$C$479,0)),"")</f>
        <v/>
      </c>
      <c r="D34" s="204"/>
      <c r="E34" s="75"/>
      <c r="F34" s="204"/>
      <c r="G34" s="75"/>
      <c r="H34" s="75"/>
      <c r="I34" s="204"/>
      <c r="J34" s="75"/>
      <c r="K34" s="75"/>
      <c r="L34" s="75"/>
      <c r="M34" s="204"/>
      <c r="N34" s="75"/>
      <c r="O34" s="204"/>
      <c r="P34" s="75"/>
      <c r="Q34" s="204"/>
      <c r="R34" s="75"/>
      <c r="S34" s="204"/>
      <c r="T34" s="75"/>
      <c r="U34" s="204"/>
      <c r="V34" s="75"/>
      <c r="W34" s="205"/>
      <c r="X34" s="221"/>
    </row>
    <row r="35" spans="1:24" hidden="1">
      <c r="A35" s="158"/>
      <c r="B35" s="158"/>
      <c r="C35" s="159" t="str">
        <f>IFERROR(INDEX('01_Theory Course List'!$D$2:$D$479,MATCH(B35,'01_Theory Course List'!$C$2:$C$479,0)),"")</f>
        <v/>
      </c>
      <c r="D35" s="204"/>
      <c r="E35" s="75"/>
      <c r="F35" s="204"/>
      <c r="G35" s="75"/>
      <c r="H35" s="75"/>
      <c r="I35" s="204"/>
      <c r="J35" s="75"/>
      <c r="K35" s="75"/>
      <c r="L35" s="75"/>
      <c r="M35" s="204"/>
      <c r="N35" s="75"/>
      <c r="O35" s="204"/>
      <c r="P35" s="75"/>
      <c r="Q35" s="204"/>
      <c r="R35" s="75"/>
      <c r="S35" s="204"/>
      <c r="T35" s="75"/>
      <c r="U35" s="204"/>
      <c r="V35" s="75"/>
      <c r="W35" s="205"/>
    </row>
    <row r="36" spans="1:24" hidden="1">
      <c r="A36" s="158"/>
      <c r="B36" s="158"/>
      <c r="C36" s="159" t="str">
        <f>IFERROR(INDEX('01_Theory Course List'!$D$2:$D$479,MATCH(B36,'01_Theory Course List'!$C$2:$C$479,0)),"")</f>
        <v/>
      </c>
      <c r="D36" s="204"/>
      <c r="E36" s="75"/>
      <c r="F36" s="204"/>
      <c r="G36" s="75"/>
      <c r="H36" s="75"/>
      <c r="I36" s="204"/>
      <c r="J36" s="75"/>
      <c r="K36" s="75"/>
      <c r="L36" s="75"/>
      <c r="M36" s="204"/>
      <c r="N36" s="75"/>
      <c r="O36" s="204"/>
      <c r="P36" s="75"/>
      <c r="Q36" s="204"/>
      <c r="R36" s="75"/>
      <c r="S36" s="204"/>
      <c r="T36" s="75"/>
      <c r="U36" s="204"/>
      <c r="V36" s="75"/>
      <c r="W36" s="205"/>
    </row>
    <row r="37" spans="1:24" hidden="1">
      <c r="A37" s="158"/>
      <c r="B37" s="158"/>
      <c r="C37" s="159" t="str">
        <f>IFERROR(INDEX('01_Theory Course List'!$D$2:$D$479,MATCH(B37,'01_Theory Course List'!$C$2:$C$479,0)),"")</f>
        <v/>
      </c>
      <c r="D37" s="204"/>
      <c r="E37" s="75"/>
      <c r="F37" s="204"/>
      <c r="G37" s="75"/>
      <c r="H37" s="75"/>
      <c r="I37" s="204"/>
      <c r="J37" s="75"/>
      <c r="K37" s="75"/>
      <c r="L37" s="75"/>
      <c r="M37" s="204"/>
      <c r="N37" s="75"/>
      <c r="O37" s="204"/>
      <c r="P37" s="75"/>
      <c r="Q37" s="204"/>
      <c r="R37" s="75"/>
      <c r="S37" s="204"/>
      <c r="T37" s="75"/>
      <c r="U37" s="204"/>
      <c r="V37" s="75"/>
      <c r="W37" s="205"/>
    </row>
    <row r="38" spans="1:24" hidden="1">
      <c r="A38" s="75"/>
      <c r="B38" s="75"/>
      <c r="C38" s="204" t="str">
        <f>IFERROR(INDEX('01_Theory Course List'!$D$2:$D$479,MATCH(B38,'01_Theory Course List'!$C$2:$C$479,0)),"")</f>
        <v/>
      </c>
      <c r="D38" s="204"/>
      <c r="E38" s="75"/>
      <c r="F38" s="204"/>
      <c r="G38" s="75"/>
      <c r="H38" s="75"/>
      <c r="I38" s="204"/>
      <c r="J38" s="75"/>
      <c r="K38" s="75"/>
      <c r="L38" s="75"/>
      <c r="M38" s="204"/>
      <c r="N38" s="75"/>
      <c r="O38" s="204"/>
      <c r="P38" s="75"/>
      <c r="Q38" s="204"/>
      <c r="R38" s="75"/>
      <c r="S38" s="204"/>
      <c r="T38" s="75"/>
      <c r="U38" s="204"/>
      <c r="V38" s="75"/>
      <c r="W38" s="205"/>
    </row>
    <row r="39" spans="1:24" hidden="1">
      <c r="A39" s="75"/>
      <c r="B39" s="75"/>
      <c r="C39" s="204" t="str">
        <f>IFERROR(INDEX('01_Theory Course List'!$D$2:$D$479,MATCH(B39,'01_Theory Course List'!$C$2:$C$479,0)),"")</f>
        <v/>
      </c>
      <c r="D39" s="204"/>
      <c r="E39" s="75"/>
      <c r="F39" s="204"/>
      <c r="G39" s="75"/>
      <c r="H39" s="75"/>
      <c r="I39" s="204"/>
      <c r="J39" s="75"/>
      <c r="K39" s="75"/>
      <c r="L39" s="75"/>
      <c r="M39" s="204"/>
      <c r="N39" s="75"/>
      <c r="O39" s="204"/>
      <c r="P39" s="75"/>
      <c r="Q39" s="204"/>
      <c r="R39" s="75"/>
      <c r="S39" s="204"/>
      <c r="T39" s="75"/>
      <c r="U39" s="204"/>
      <c r="V39" s="75"/>
      <c r="W39" s="205"/>
    </row>
    <row r="40" spans="1:24" hidden="1">
      <c r="A40" s="75"/>
      <c r="B40" s="75"/>
      <c r="C40" s="204" t="str">
        <f>IFERROR(INDEX('01_Theory Course List'!$D$2:$D$479,MATCH(B40,'01_Theory Course List'!$C$2:$C$479,0)),"")</f>
        <v/>
      </c>
      <c r="D40" s="204"/>
      <c r="E40" s="75"/>
      <c r="F40" s="204"/>
      <c r="G40" s="75"/>
      <c r="H40" s="75"/>
      <c r="I40" s="204"/>
      <c r="J40" s="75"/>
      <c r="K40" s="75"/>
      <c r="L40" s="75"/>
      <c r="M40" s="204"/>
      <c r="N40" s="75"/>
      <c r="O40" s="204"/>
      <c r="P40" s="75"/>
      <c r="Q40" s="204"/>
      <c r="R40" s="75"/>
      <c r="S40" s="204"/>
      <c r="T40" s="75"/>
      <c r="U40" s="204"/>
      <c r="V40" s="75"/>
      <c r="W40" s="205"/>
    </row>
    <row r="41" spans="1:24" hidden="1">
      <c r="A41" s="75"/>
      <c r="B41" s="75"/>
      <c r="C41" s="204" t="str">
        <f>IFERROR(INDEX('01_Theory Course List'!$D$2:$D$479,MATCH(B41,'01_Theory Course List'!$C$2:$C$479,0)),"")</f>
        <v/>
      </c>
      <c r="D41" s="204"/>
      <c r="E41" s="75"/>
      <c r="F41" s="204"/>
      <c r="G41" s="75"/>
      <c r="H41" s="75"/>
      <c r="I41" s="204"/>
      <c r="J41" s="75"/>
      <c r="K41" s="75"/>
      <c r="L41" s="75"/>
      <c r="M41" s="204"/>
      <c r="N41" s="75"/>
      <c r="O41" s="204"/>
      <c r="P41" s="75"/>
      <c r="Q41" s="204"/>
      <c r="R41" s="75"/>
      <c r="S41" s="204"/>
      <c r="T41" s="75"/>
      <c r="U41" s="204"/>
      <c r="V41" s="75"/>
      <c r="W41" s="205"/>
    </row>
    <row r="42" spans="1:24" hidden="1">
      <c r="A42" s="75"/>
      <c r="B42" s="75"/>
      <c r="C42" s="204" t="str">
        <f>IFERROR(INDEX('01_Theory Course List'!$D$2:$D$479,MATCH(B42,'01_Theory Course List'!$C$2:$C$479,0)),"")</f>
        <v/>
      </c>
      <c r="D42" s="204"/>
      <c r="E42" s="75"/>
      <c r="F42" s="204"/>
      <c r="G42" s="75"/>
      <c r="H42" s="75"/>
      <c r="I42" s="204"/>
      <c r="J42" s="75"/>
      <c r="K42" s="75"/>
      <c r="L42" s="75"/>
      <c r="M42" s="204"/>
      <c r="N42" s="75"/>
      <c r="O42" s="204"/>
      <c r="P42" s="75"/>
      <c r="Q42" s="204"/>
      <c r="R42" s="75"/>
      <c r="S42" s="204"/>
      <c r="T42" s="75"/>
      <c r="U42" s="204"/>
      <c r="V42" s="75"/>
      <c r="W42" s="205"/>
    </row>
    <row r="43" spans="1:24" hidden="1">
      <c r="A43" s="75"/>
      <c r="B43" s="75"/>
      <c r="C43" s="204" t="str">
        <f>IFERROR(INDEX('01_Theory Course List'!$D$2:$D$479,MATCH(B43,'01_Theory Course List'!$C$2:$C$479,0)),"")</f>
        <v/>
      </c>
      <c r="D43" s="204"/>
      <c r="E43" s="75"/>
      <c r="F43" s="204"/>
      <c r="G43" s="75"/>
      <c r="H43" s="75"/>
      <c r="I43" s="204"/>
      <c r="J43" s="75"/>
      <c r="K43" s="75"/>
      <c r="L43" s="75"/>
      <c r="M43" s="204"/>
      <c r="N43" s="75"/>
      <c r="O43" s="204"/>
      <c r="P43" s="75"/>
      <c r="Q43" s="204"/>
      <c r="R43" s="75"/>
      <c r="S43" s="204"/>
      <c r="T43" s="75"/>
      <c r="U43" s="204"/>
      <c r="V43" s="75"/>
      <c r="W43" s="205"/>
    </row>
    <row r="44" spans="1:24" hidden="1">
      <c r="A44" s="75"/>
      <c r="B44" s="75"/>
      <c r="C44" s="204" t="str">
        <f>IFERROR(INDEX('01_Theory Course List'!$D$2:$D$479,MATCH(B44,'01_Theory Course List'!$C$2:$C$479,0)),"")</f>
        <v/>
      </c>
      <c r="D44" s="204"/>
      <c r="E44" s="75"/>
      <c r="F44" s="204"/>
      <c r="G44" s="75"/>
      <c r="H44" s="75"/>
      <c r="I44" s="204"/>
      <c r="J44" s="75"/>
      <c r="K44" s="75"/>
      <c r="L44" s="75"/>
      <c r="M44" s="204"/>
      <c r="N44" s="75"/>
      <c r="O44" s="204"/>
      <c r="P44" s="75"/>
      <c r="Q44" s="204"/>
      <c r="R44" s="75"/>
      <c r="S44" s="204"/>
      <c r="T44" s="75"/>
      <c r="U44" s="204"/>
      <c r="V44" s="75"/>
      <c r="W44" s="205"/>
    </row>
    <row r="45" spans="1:24" hidden="1">
      <c r="A45" s="75"/>
      <c r="B45" s="75"/>
      <c r="C45" s="204" t="str">
        <f>IFERROR(INDEX('01_Theory Course List'!$D$2:$D$479,MATCH(B45,'01_Theory Course List'!$C$2:$C$479,0)),"")</f>
        <v/>
      </c>
      <c r="D45" s="204"/>
      <c r="E45" s="75"/>
      <c r="F45" s="204"/>
      <c r="G45" s="75"/>
      <c r="H45" s="75"/>
      <c r="I45" s="204"/>
      <c r="J45" s="75"/>
      <c r="K45" s="75"/>
      <c r="L45" s="75"/>
      <c r="M45" s="204"/>
      <c r="N45" s="75"/>
      <c r="O45" s="204"/>
      <c r="P45" s="75"/>
      <c r="Q45" s="204"/>
      <c r="R45" s="75"/>
      <c r="S45" s="204"/>
      <c r="T45" s="75"/>
      <c r="U45" s="204"/>
      <c r="V45" s="75"/>
      <c r="W45" s="205"/>
    </row>
    <row r="46" spans="1:24" hidden="1">
      <c r="A46" s="75"/>
      <c r="B46" s="75"/>
      <c r="C46" s="204" t="str">
        <f>IFERROR(INDEX('01_Theory Course List'!$D$2:$D$479,MATCH(B46,'01_Theory Course List'!$C$2:$C$479,0)),"")</f>
        <v/>
      </c>
      <c r="D46" s="204"/>
      <c r="E46" s="75"/>
      <c r="F46" s="204"/>
      <c r="G46" s="75"/>
      <c r="H46" s="75"/>
      <c r="I46" s="204"/>
      <c r="J46" s="75"/>
      <c r="K46" s="75"/>
      <c r="L46" s="75"/>
      <c r="M46" s="204"/>
      <c r="N46" s="75"/>
      <c r="O46" s="204"/>
      <c r="P46" s="75"/>
      <c r="Q46" s="204"/>
      <c r="R46" s="75"/>
      <c r="S46" s="204"/>
      <c r="T46" s="75"/>
      <c r="U46" s="204"/>
      <c r="V46" s="75"/>
      <c r="W46" s="205"/>
    </row>
    <row r="47" spans="1:24" hidden="1">
      <c r="A47" s="75"/>
      <c r="B47" s="75"/>
      <c r="C47" s="204" t="str">
        <f>IFERROR(INDEX('01_Theory Course List'!$D$2:$D$479,MATCH(B47,'01_Theory Course List'!$C$2:$C$479,0)),"")</f>
        <v/>
      </c>
      <c r="D47" s="204"/>
      <c r="E47" s="75"/>
      <c r="F47" s="204"/>
      <c r="G47" s="75"/>
      <c r="H47" s="75"/>
      <c r="I47" s="204"/>
      <c r="J47" s="75"/>
      <c r="K47" s="75"/>
      <c r="L47" s="75"/>
      <c r="M47" s="204"/>
      <c r="N47" s="75"/>
      <c r="O47" s="204"/>
      <c r="P47" s="75"/>
      <c r="Q47" s="204"/>
      <c r="R47" s="75"/>
      <c r="S47" s="204"/>
      <c r="T47" s="75"/>
      <c r="U47" s="204"/>
      <c r="V47" s="75"/>
      <c r="W47" s="205"/>
    </row>
    <row r="48" spans="1:24" hidden="1">
      <c r="A48" s="75"/>
      <c r="B48" s="75"/>
      <c r="C48" s="204" t="str">
        <f>IFERROR(INDEX('01_Theory Course List'!$D$2:$D$479,MATCH(B48,'01_Theory Course List'!$C$2:$C$479,0)),"")</f>
        <v/>
      </c>
      <c r="D48" s="204"/>
      <c r="E48" s="75"/>
      <c r="F48" s="204"/>
      <c r="G48" s="75"/>
      <c r="H48" s="75"/>
      <c r="I48" s="204"/>
      <c r="J48" s="75"/>
      <c r="K48" s="75"/>
      <c r="L48" s="75"/>
      <c r="M48" s="204"/>
      <c r="N48" s="75"/>
      <c r="O48" s="204"/>
      <c r="P48" s="75"/>
      <c r="Q48" s="204"/>
      <c r="R48" s="75"/>
      <c r="S48" s="204"/>
      <c r="T48" s="75"/>
      <c r="U48" s="204"/>
      <c r="V48" s="75"/>
      <c r="W48" s="205"/>
    </row>
    <row r="49" spans="1:23" hidden="1">
      <c r="A49" s="75"/>
      <c r="B49" s="75"/>
      <c r="C49" s="204" t="str">
        <f>IFERROR(INDEX('01_Theory Course List'!$D$2:$D$479,MATCH(B49,'01_Theory Course List'!$C$2:$C$479,0)),"")</f>
        <v/>
      </c>
      <c r="D49" s="204"/>
      <c r="E49" s="75"/>
      <c r="F49" s="204"/>
      <c r="G49" s="75"/>
      <c r="H49" s="75"/>
      <c r="I49" s="204"/>
      <c r="J49" s="75"/>
      <c r="K49" s="75"/>
      <c r="L49" s="75"/>
      <c r="M49" s="204"/>
      <c r="N49" s="75"/>
      <c r="O49" s="204"/>
      <c r="P49" s="75"/>
      <c r="Q49" s="204"/>
      <c r="R49" s="75"/>
      <c r="S49" s="204"/>
      <c r="T49" s="75"/>
      <c r="U49" s="204"/>
      <c r="V49" s="75"/>
      <c r="W49" s="205"/>
    </row>
    <row r="50" spans="1:23" hidden="1">
      <c r="A50" s="75"/>
      <c r="B50" s="75"/>
      <c r="C50" s="204" t="str">
        <f>IFERROR(INDEX('01_Theory Course List'!$D$2:$D$479,MATCH(B50,'01_Theory Course List'!$C$2:$C$479,0)),"")</f>
        <v/>
      </c>
      <c r="D50" s="204"/>
      <c r="E50" s="75"/>
      <c r="F50" s="204"/>
      <c r="G50" s="75"/>
      <c r="H50" s="75"/>
      <c r="I50" s="204"/>
      <c r="J50" s="75"/>
      <c r="K50" s="75"/>
      <c r="L50" s="75"/>
      <c r="M50" s="204"/>
      <c r="N50" s="75"/>
      <c r="O50" s="204"/>
      <c r="P50" s="75"/>
      <c r="Q50" s="204"/>
      <c r="R50" s="75"/>
      <c r="S50" s="204"/>
      <c r="T50" s="75"/>
      <c r="U50" s="204"/>
      <c r="V50" s="75"/>
      <c r="W50" s="205"/>
    </row>
    <row r="51" spans="1:23" hidden="1">
      <c r="A51" s="75"/>
      <c r="B51" s="75"/>
      <c r="C51" s="204" t="str">
        <f>IFERROR(INDEX('01_Theory Course List'!$D$2:$D$479,MATCH(B51,'01_Theory Course List'!$C$2:$C$479,0)),"")</f>
        <v/>
      </c>
      <c r="D51" s="204"/>
      <c r="E51" s="75"/>
      <c r="F51" s="204"/>
      <c r="G51" s="75"/>
      <c r="H51" s="75"/>
      <c r="I51" s="204"/>
      <c r="J51" s="75"/>
      <c r="K51" s="75"/>
      <c r="L51" s="75"/>
      <c r="M51" s="204"/>
      <c r="N51" s="75"/>
      <c r="O51" s="204"/>
      <c r="P51" s="75"/>
      <c r="Q51" s="204"/>
      <c r="R51" s="75"/>
      <c r="S51" s="204"/>
      <c r="T51" s="75"/>
      <c r="U51" s="204"/>
      <c r="V51" s="75"/>
      <c r="W51" s="205"/>
    </row>
    <row r="52" spans="1:23" hidden="1">
      <c r="A52" s="75"/>
      <c r="B52" s="75"/>
      <c r="C52" s="204" t="str">
        <f>IFERROR(INDEX('01_Theory Course List'!$D$2:$D$479,MATCH(B52,'01_Theory Course List'!$C$2:$C$479,0)),"")</f>
        <v/>
      </c>
      <c r="D52" s="204"/>
      <c r="E52" s="75"/>
      <c r="F52" s="204"/>
      <c r="G52" s="75"/>
      <c r="H52" s="75"/>
      <c r="I52" s="204"/>
      <c r="J52" s="75"/>
      <c r="K52" s="75"/>
      <c r="L52" s="75"/>
      <c r="M52" s="204"/>
      <c r="N52" s="75"/>
      <c r="O52" s="204"/>
      <c r="P52" s="75"/>
      <c r="Q52" s="204"/>
      <c r="R52" s="75"/>
      <c r="S52" s="204"/>
      <c r="T52" s="75"/>
      <c r="U52" s="204"/>
      <c r="V52" s="75"/>
      <c r="W52" s="205"/>
    </row>
    <row r="53" spans="1:23" hidden="1">
      <c r="A53" s="75"/>
      <c r="B53" s="75"/>
      <c r="C53" s="204" t="str">
        <f>IFERROR(INDEX('01_Theory Course List'!$D$2:$D$479,MATCH(B53,'01_Theory Course List'!$C$2:$C$479,0)),"")</f>
        <v/>
      </c>
      <c r="D53" s="204"/>
      <c r="E53" s="75"/>
      <c r="F53" s="204"/>
      <c r="G53" s="75"/>
      <c r="H53" s="75"/>
      <c r="I53" s="204"/>
      <c r="J53" s="75"/>
      <c r="K53" s="75"/>
      <c r="L53" s="75"/>
      <c r="M53" s="204"/>
      <c r="N53" s="75"/>
      <c r="O53" s="204"/>
      <c r="P53" s="75"/>
      <c r="Q53" s="204"/>
      <c r="R53" s="75"/>
      <c r="S53" s="204"/>
      <c r="T53" s="75"/>
      <c r="U53" s="204"/>
      <c r="V53" s="75"/>
      <c r="W53" s="205"/>
    </row>
    <row r="54" spans="1:23" hidden="1">
      <c r="A54" s="75"/>
      <c r="B54" s="75"/>
      <c r="C54" s="204" t="str">
        <f>IFERROR(INDEX('01_Theory Course List'!$D$2:$D$479,MATCH(B54,'01_Theory Course List'!$C$2:$C$479,0)),"")</f>
        <v/>
      </c>
      <c r="D54" s="204"/>
      <c r="E54" s="75"/>
      <c r="F54" s="204"/>
      <c r="G54" s="75"/>
      <c r="H54" s="75"/>
      <c r="I54" s="204"/>
      <c r="J54" s="75"/>
      <c r="K54" s="75"/>
      <c r="L54" s="75"/>
      <c r="M54" s="204"/>
      <c r="N54" s="75"/>
      <c r="O54" s="204"/>
      <c r="P54" s="75"/>
      <c r="Q54" s="204"/>
      <c r="R54" s="75"/>
      <c r="S54" s="204"/>
      <c r="T54" s="75"/>
      <c r="U54" s="204"/>
      <c r="V54" s="75"/>
      <c r="W54" s="205"/>
    </row>
    <row r="55" spans="1:23" hidden="1">
      <c r="A55" s="75"/>
      <c r="B55" s="75"/>
      <c r="C55" s="204" t="str">
        <f>IFERROR(INDEX('01_Theory Course List'!$D$2:$D$479,MATCH(B55,'01_Theory Course List'!$C$2:$C$479,0)),"")</f>
        <v/>
      </c>
      <c r="D55" s="204"/>
      <c r="E55" s="75"/>
      <c r="F55" s="204"/>
      <c r="G55" s="75"/>
      <c r="H55" s="75"/>
      <c r="I55" s="204"/>
      <c r="J55" s="75"/>
      <c r="K55" s="75"/>
      <c r="L55" s="75"/>
      <c r="M55" s="204"/>
      <c r="N55" s="75"/>
      <c r="O55" s="204"/>
      <c r="P55" s="75"/>
      <c r="Q55" s="204"/>
      <c r="R55" s="75"/>
      <c r="S55" s="204"/>
      <c r="T55" s="75"/>
      <c r="U55" s="204"/>
      <c r="V55" s="75"/>
      <c r="W55" s="205"/>
    </row>
    <row r="56" spans="1:23" hidden="1">
      <c r="A56" s="75"/>
      <c r="B56" s="75"/>
      <c r="C56" s="204" t="str">
        <f>IFERROR(INDEX('01_Theory Course List'!$D$2:$D$479,MATCH(B56,'01_Theory Course List'!$C$2:$C$479,0)),"")</f>
        <v/>
      </c>
      <c r="D56" s="204"/>
      <c r="E56" s="75"/>
      <c r="F56" s="204"/>
      <c r="G56" s="75"/>
      <c r="H56" s="75"/>
      <c r="I56" s="204"/>
      <c r="J56" s="75"/>
      <c r="K56" s="75"/>
      <c r="L56" s="75"/>
      <c r="M56" s="204"/>
      <c r="N56" s="75"/>
      <c r="O56" s="204"/>
      <c r="P56" s="75"/>
      <c r="Q56" s="204"/>
      <c r="R56" s="75"/>
      <c r="S56" s="204"/>
      <c r="T56" s="75"/>
      <c r="U56" s="204"/>
      <c r="V56" s="75"/>
      <c r="W56" s="205"/>
    </row>
    <row r="57" spans="1:23" hidden="1">
      <c r="A57" s="75"/>
      <c r="B57" s="75"/>
      <c r="C57" s="204" t="str">
        <f>IFERROR(INDEX('01_Theory Course List'!$D$2:$D$479,MATCH(B57,'01_Theory Course List'!$C$2:$C$479,0)),"")</f>
        <v/>
      </c>
      <c r="D57" s="204"/>
      <c r="E57" s="75"/>
      <c r="F57" s="204"/>
      <c r="G57" s="75"/>
      <c r="H57" s="75"/>
      <c r="I57" s="204"/>
      <c r="J57" s="75"/>
      <c r="K57" s="75"/>
      <c r="L57" s="75"/>
      <c r="M57" s="204"/>
      <c r="N57" s="75"/>
      <c r="O57" s="204"/>
      <c r="P57" s="75"/>
      <c r="Q57" s="204"/>
      <c r="R57" s="75"/>
      <c r="S57" s="204"/>
      <c r="T57" s="75"/>
      <c r="U57" s="204"/>
      <c r="V57" s="75"/>
      <c r="W57" s="205"/>
    </row>
    <row r="58" spans="1:23" hidden="1">
      <c r="A58" s="75"/>
      <c r="B58" s="75"/>
      <c r="C58" s="204" t="str">
        <f>IFERROR(INDEX('01_Theory Course List'!$D$2:$D$479,MATCH(B58,'01_Theory Course List'!$C$2:$C$479,0)),"")</f>
        <v/>
      </c>
      <c r="D58" s="204"/>
      <c r="E58" s="75"/>
      <c r="F58" s="204"/>
      <c r="G58" s="75"/>
      <c r="H58" s="75"/>
      <c r="I58" s="204"/>
      <c r="J58" s="75"/>
      <c r="K58" s="75"/>
      <c r="L58" s="75"/>
      <c r="M58" s="204"/>
      <c r="N58" s="75"/>
      <c r="O58" s="204"/>
      <c r="P58" s="75"/>
      <c r="Q58" s="204"/>
      <c r="R58" s="75"/>
      <c r="S58" s="204"/>
      <c r="T58" s="75"/>
      <c r="U58" s="204"/>
      <c r="V58" s="75"/>
      <c r="W58" s="205"/>
    </row>
    <row r="59" spans="1:23" hidden="1">
      <c r="A59" s="75"/>
      <c r="B59" s="75"/>
      <c r="C59" s="204" t="str">
        <f>IFERROR(INDEX('01_Theory Course List'!$D$2:$D$479,MATCH(B59,'01_Theory Course List'!$C$2:$C$479,0)),"")</f>
        <v/>
      </c>
      <c r="D59" s="204"/>
      <c r="E59" s="75"/>
      <c r="F59" s="204"/>
      <c r="G59" s="75"/>
      <c r="H59" s="75"/>
      <c r="I59" s="204"/>
      <c r="J59" s="75"/>
      <c r="K59" s="75"/>
      <c r="L59" s="75"/>
      <c r="M59" s="204"/>
      <c r="N59" s="75"/>
      <c r="O59" s="204"/>
      <c r="P59" s="75"/>
      <c r="Q59" s="204"/>
      <c r="R59" s="75"/>
      <c r="S59" s="204"/>
      <c r="T59" s="75"/>
      <c r="U59" s="204"/>
      <c r="V59" s="75"/>
      <c r="W59" s="205"/>
    </row>
    <row r="60" spans="1:23" hidden="1">
      <c r="A60" s="75"/>
      <c r="B60" s="75"/>
      <c r="C60" s="204" t="str">
        <f>IFERROR(INDEX('01_Theory Course List'!$D$2:$D$479,MATCH(B60,'01_Theory Course List'!$C$2:$C$479,0)),"")</f>
        <v/>
      </c>
      <c r="D60" s="204"/>
      <c r="E60" s="75"/>
      <c r="F60" s="204"/>
      <c r="G60" s="75"/>
      <c r="H60" s="75"/>
      <c r="I60" s="204"/>
      <c r="J60" s="75"/>
      <c r="K60" s="75"/>
      <c r="L60" s="75"/>
      <c r="M60" s="204"/>
      <c r="N60" s="75"/>
      <c r="O60" s="204"/>
      <c r="P60" s="75"/>
      <c r="Q60" s="204"/>
      <c r="R60" s="75"/>
      <c r="S60" s="204"/>
      <c r="T60" s="75"/>
      <c r="U60" s="204"/>
      <c r="V60" s="75"/>
      <c r="W60" s="205"/>
    </row>
    <row r="61" spans="1:23" hidden="1">
      <c r="A61" s="75"/>
      <c r="B61" s="75"/>
      <c r="C61" s="204" t="str">
        <f>IFERROR(INDEX('01_Theory Course List'!$D$2:$D$479,MATCH(B61,'01_Theory Course List'!$C$2:$C$479,0)),"")</f>
        <v/>
      </c>
      <c r="D61" s="204"/>
      <c r="E61" s="75"/>
      <c r="F61" s="204"/>
      <c r="G61" s="75"/>
      <c r="H61" s="75"/>
      <c r="I61" s="204"/>
      <c r="J61" s="75"/>
      <c r="K61" s="75"/>
      <c r="L61" s="75"/>
      <c r="M61" s="204"/>
      <c r="N61" s="75"/>
      <c r="O61" s="204"/>
      <c r="P61" s="75"/>
      <c r="Q61" s="204"/>
      <c r="R61" s="75"/>
      <c r="S61" s="204"/>
      <c r="T61" s="75"/>
      <c r="U61" s="204"/>
      <c r="V61" s="75"/>
      <c r="W61" s="205"/>
    </row>
    <row r="62" spans="1:23" hidden="1">
      <c r="A62" s="75"/>
      <c r="B62" s="75"/>
      <c r="C62" s="204" t="str">
        <f>IFERROR(INDEX('01_Theory Course List'!$D$2:$D$479,MATCH(B62,'01_Theory Course List'!$C$2:$C$479,0)),"")</f>
        <v/>
      </c>
      <c r="D62" s="204"/>
      <c r="E62" s="75"/>
      <c r="F62" s="204"/>
      <c r="G62" s="75"/>
      <c r="H62" s="75"/>
      <c r="I62" s="204"/>
      <c r="J62" s="75"/>
      <c r="K62" s="75"/>
      <c r="L62" s="75"/>
      <c r="M62" s="204"/>
      <c r="N62" s="75"/>
      <c r="O62" s="204"/>
      <c r="P62" s="75"/>
      <c r="Q62" s="204"/>
      <c r="R62" s="75"/>
      <c r="S62" s="204"/>
      <c r="T62" s="75"/>
      <c r="U62" s="204"/>
      <c r="V62" s="75"/>
      <c r="W62" s="205"/>
    </row>
  </sheetData>
  <mergeCells count="20">
    <mergeCell ref="X26:X27"/>
    <mergeCell ref="X28:X29"/>
    <mergeCell ref="X30:X31"/>
    <mergeCell ref="X32:X33"/>
    <mergeCell ref="W3:W15"/>
    <mergeCell ref="X16:X17"/>
    <mergeCell ref="X18:X19"/>
    <mergeCell ref="X20:X21"/>
    <mergeCell ref="X22:X23"/>
    <mergeCell ref="X24:X25"/>
    <mergeCell ref="B1:C1"/>
    <mergeCell ref="I1:L1"/>
    <mergeCell ref="M1:P1"/>
    <mergeCell ref="Q1:R1"/>
    <mergeCell ref="S1:T1"/>
    <mergeCell ref="U1:V1"/>
    <mergeCell ref="W1:W2"/>
    <mergeCell ref="D1:H1"/>
    <mergeCell ref="H3:H15"/>
    <mergeCell ref="X1:X2"/>
  </mergeCells>
  <conditionalFormatting sqref="E3:E62">
    <cfRule type="cellIs" dxfId="34" priority="27" operator="equal">
      <formula>"Under Preparation"</formula>
    </cfRule>
    <cfRule type="cellIs" dxfId="33" priority="28" operator="equal">
      <formula>"Printed"</formula>
    </cfRule>
    <cfRule type="cellIs" dxfId="32" priority="29" operator="equal">
      <formula>"Submitted"</formula>
    </cfRule>
  </conditionalFormatting>
  <conditionalFormatting sqref="G3:H3 G4:G15 G16:H62">
    <cfRule type="cellIs" dxfId="31" priority="30" operator="equal">
      <formula>"Under Preparation"</formula>
    </cfRule>
    <cfRule type="cellIs" dxfId="30" priority="31" operator="equal">
      <formula>"Printed"</formula>
    </cfRule>
    <cfRule type="cellIs" dxfId="29" priority="32" operator="equal">
      <formula>"Submitted"</formula>
    </cfRule>
  </conditionalFormatting>
  <conditionalFormatting sqref="J3:L62">
    <cfRule type="cellIs" dxfId="28" priority="33" operator="equal">
      <formula>"Under Moderation"</formula>
    </cfRule>
    <cfRule type="cellIs" dxfId="27" priority="34" operator="equal">
      <formula>"Moderated - Needs Correction"</formula>
    </cfRule>
    <cfRule type="cellIs" dxfId="26" priority="35" operator="equal">
      <formula>"Finalized"</formula>
    </cfRule>
  </conditionalFormatting>
  <conditionalFormatting sqref="N3:N62">
    <cfRule type="cellIs" dxfId="25" priority="6" operator="equal">
      <formula>"Under Examination"</formula>
    </cfRule>
    <cfRule type="cellIs" dxfId="24" priority="7" operator="equal">
      <formula>"Examined"</formula>
    </cfRule>
    <cfRule type="cellIs" dxfId="23" priority="8" operator="equal">
      <formula>"Forwarded to Script Scrutinizer"</formula>
    </cfRule>
  </conditionalFormatting>
  <conditionalFormatting sqref="P3:P62">
    <cfRule type="cellIs" dxfId="22" priority="39" operator="equal">
      <formula>"Under Examination"</formula>
    </cfRule>
    <cfRule type="cellIs" dxfId="21" priority="40" operator="equal">
      <formula>"Examined"</formula>
    </cfRule>
    <cfRule type="cellIs" dxfId="20" priority="41" operator="equal">
      <formula>"Forwarded to Script Scrutinizer"</formula>
    </cfRule>
  </conditionalFormatting>
  <conditionalFormatting sqref="R3:R62">
    <cfRule type="cellIs" dxfId="19" priority="42" operator="equal">
      <formula>"Under Scrutiny"</formula>
    </cfRule>
    <cfRule type="cellIs" dxfId="18" priority="43" operator="equal">
      <formula>"Scrutinized"</formula>
    </cfRule>
    <cfRule type="cellIs" dxfId="17" priority="44" operator="equal">
      <formula>"Forwarded to Gradesheet Preparer"</formula>
    </cfRule>
  </conditionalFormatting>
  <conditionalFormatting sqref="T3:T62">
    <cfRule type="cellIs" dxfId="16" priority="45" operator="equal">
      <formula>"Under Preparation"</formula>
    </cfRule>
    <cfRule type="cellIs" dxfId="15" priority="46" operator="equal">
      <formula>"Prepared"</formula>
    </cfRule>
    <cfRule type="cellIs" dxfId="14" priority="47" operator="equal">
      <formula>"Uploaded in BIIS"</formula>
    </cfRule>
    <cfRule type="cellIs" dxfId="13" priority="48" operator="equal">
      <formula>"Forwarded to Gradesheet Scrutinizer"</formula>
    </cfRule>
  </conditionalFormatting>
  <conditionalFormatting sqref="V3:V62">
    <cfRule type="cellIs" dxfId="12" priority="49" operator="equal">
      <formula>"Under Scrutiny"</formula>
    </cfRule>
    <cfRule type="cellIs" dxfId="11" priority="50" operator="equal">
      <formula>"Scrutinized"</formula>
    </cfRule>
    <cfRule type="cellIs" dxfId="10" priority="51" operator="equal">
      <formula>"Submitted"</formula>
    </cfRule>
    <cfRule type="cellIs" dxfId="9" priority="52" operator="equal">
      <formula>"Forwarded to HOD"</formula>
    </cfRule>
  </conditionalFormatting>
  <dataValidations count="7">
    <dataValidation type="list" allowBlank="1" showInputMessage="1" showErrorMessage="1" sqref="V3:V15" xr:uid="{1E07E8C9-BECC-4EDC-B7F8-C535E9046A4B}">
      <formula1>GradesheetScrutinyStatus</formula1>
    </dataValidation>
    <dataValidation type="list" allowBlank="1" showInputMessage="1" showErrorMessage="1" sqref="T3:T15" xr:uid="{A553FC45-5714-4650-8C04-BBFAF3097583}">
      <formula1>GradesheetPrepStatus</formula1>
    </dataValidation>
    <dataValidation type="list" allowBlank="1" showInputMessage="1" showErrorMessage="1" sqref="R3:R15" xr:uid="{267F6347-06B1-44FB-9D05-EABA9A6AC810}">
      <formula1>ScriptScrutinyStatus</formula1>
    </dataValidation>
    <dataValidation type="list" allowBlank="1" showInputMessage="1" showErrorMessage="1" sqref="P3:P15 N3:N15" xr:uid="{FB706037-D821-4418-9726-651D072CBA02}">
      <formula1>ExaminerStatus</formula1>
    </dataValidation>
    <dataValidation type="list" allowBlank="1" showInputMessage="1" showErrorMessage="1" sqref="J3:J15 L3:L15" xr:uid="{62C6AA7C-E1FF-4C43-90BF-CB6C43C27F6B}">
      <formula1>QMStatus</formula1>
    </dataValidation>
    <dataValidation type="list" allowBlank="1" showInputMessage="1" showErrorMessage="1" sqref="I3:I15 K3:K15 Q3:Q15 U3:U15 D3:D15 F3:F15 S3:S15" xr:uid="{40BF4645-6490-4853-A9E6-762B56F41E52}">
      <formula1>Faculty_List</formula1>
    </dataValidation>
    <dataValidation type="list" allowBlank="1" showInputMessage="1" showErrorMessage="1" sqref="E3:E15 G3:G15 H3" xr:uid="{4FD5AA7E-E936-4356-8441-3D21283C547C}">
      <formula1>QPStatus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91109-7CF2-4167-8FF0-39D93D6B9106}">
  <dimension ref="A1:N33"/>
  <sheetViews>
    <sheetView showGridLines="0" zoomScaleNormal="100" workbookViewId="0">
      <pane xSplit="3" ySplit="1" topLeftCell="D2" activePane="bottomRight" state="frozen"/>
      <selection pane="bottomRight" activeCell="L2" sqref="L2"/>
      <selection pane="bottomLeft" activeCell="A2" sqref="A2"/>
      <selection pane="topRight" activeCell="D1" sqref="D1"/>
    </sheetView>
  </sheetViews>
  <sheetFormatPr defaultColWidth="0" defaultRowHeight="15" zeroHeight="1"/>
  <cols>
    <col min="1" max="1" width="7.28515625" style="75" bestFit="1" customWidth="1"/>
    <col min="2" max="2" width="6.140625" style="17" bestFit="1" customWidth="1"/>
    <col min="3" max="3" width="15.5703125" bestFit="1" customWidth="1"/>
    <col min="4" max="4" width="48.85546875" style="150" customWidth="1"/>
    <col min="5" max="5" width="7.28515625" hidden="1" customWidth="1"/>
    <col min="6" max="6" width="29.140625" hidden="1" customWidth="1"/>
    <col min="7" max="7" width="28.28515625" hidden="1" customWidth="1"/>
    <col min="8" max="8" width="23.7109375" hidden="1" customWidth="1"/>
    <col min="9" max="9" width="26.42578125" hidden="1" customWidth="1"/>
    <col min="10" max="10" width="19.7109375" hidden="1" customWidth="1"/>
    <col min="11" max="11" width="19.85546875" bestFit="1" customWidth="1"/>
    <col min="12" max="12" width="19.85546875" customWidth="1"/>
    <col min="13" max="13" width="16" customWidth="1"/>
    <col min="14" max="14" width="8.7109375" customWidth="1"/>
    <col min="15" max="26" width="8.7109375" hidden="1" customWidth="1"/>
    <col min="27" max="16384" width="8.7109375" hidden="1"/>
  </cols>
  <sheetData>
    <row r="1" spans="1:13" s="18" customFormat="1" ht="48" customHeight="1" thickBot="1">
      <c r="A1" s="151" t="s">
        <v>23</v>
      </c>
      <c r="B1" s="155" t="str">
        <f>'01_Theory Course List'!B1</f>
        <v>SL No.</v>
      </c>
      <c r="C1" s="189" t="str">
        <f>'01_Theory Course List'!C1</f>
        <v>Course Code</v>
      </c>
      <c r="D1" s="190" t="str">
        <f>'01_Theory Course List'!D1</f>
        <v>Course Title</v>
      </c>
      <c r="E1" s="148" t="s">
        <v>28</v>
      </c>
      <c r="F1" s="48" t="s">
        <v>29</v>
      </c>
      <c r="G1" s="168" t="s">
        <v>30</v>
      </c>
      <c r="H1" s="168" t="s">
        <v>74</v>
      </c>
      <c r="I1" s="168" t="s">
        <v>75</v>
      </c>
      <c r="J1" s="166" t="s">
        <v>76</v>
      </c>
      <c r="K1" s="52" t="s">
        <v>168</v>
      </c>
      <c r="L1" s="53" t="s">
        <v>169</v>
      </c>
      <c r="M1" s="263" t="s">
        <v>31</v>
      </c>
    </row>
    <row r="2" spans="1:13">
      <c r="A2" s="380" t="s">
        <v>32</v>
      </c>
      <c r="B2" s="20">
        <f>'01_Theory Course List'!B2</f>
        <v>1</v>
      </c>
      <c r="C2" s="26" t="str">
        <f>'01_Theory Course List'!C2</f>
        <v>BME 101</v>
      </c>
      <c r="D2" s="192" t="str">
        <f>'01_Theory Course List'!D2</f>
        <v>Introduction to Biomedical Engineering</v>
      </c>
      <c r="E2" s="302" t="s">
        <v>35</v>
      </c>
      <c r="F2" s="28" t="str">
        <f>IFERROR(INDEX('01_Theory Course List'!$G$2:$G$479,MATCH(C2,'01_Theory Course List'!$C$2:$C$479,0)),"")</f>
        <v>Dr. M. Tarik Arafat</v>
      </c>
      <c r="G2" s="175" t="str">
        <f>IFERROR(INDEX('01_Theory Course List'!$H$2:$H$479,MATCH(C2,'01_Theory Course List'!$C$2:$C$479,0)),"")</f>
        <v>Dr. Jahid Ferdous</v>
      </c>
      <c r="H2" s="176"/>
      <c r="I2" s="176"/>
      <c r="J2" s="196"/>
      <c r="K2" s="215"/>
      <c r="L2" s="295">
        <v>46326</v>
      </c>
      <c r="M2" s="219"/>
    </row>
    <row r="3" spans="1:13">
      <c r="A3" s="381"/>
      <c r="B3" s="31">
        <f>'01_Theory Course List'!B3</f>
        <v>2</v>
      </c>
      <c r="C3" s="38" t="str">
        <f>'01_Theory Course List'!C3</f>
        <v>BME 201</v>
      </c>
      <c r="D3" s="193" t="str">
        <f>'01_Theory Course List'!D3</f>
        <v>Biomechanics</v>
      </c>
      <c r="E3" s="303"/>
      <c r="F3" s="34" t="str">
        <f>IFERROR(INDEX('01_Theory Course List'!$G$2:$G$479,MATCH(C3,'01_Theory Course List'!$C$2:$C$479,0)),"")</f>
        <v>Mr. Md. Abdullah Al Mamun</v>
      </c>
      <c r="G3" s="169" t="str">
        <f>IFERROR(INDEX('01_Theory Course List'!$H$2:$H$479,MATCH(C3,'01_Theory Course List'!$C$2:$C$479,0)),"")</f>
        <v>Ms. Srija Sarker Anannya</v>
      </c>
      <c r="H3" s="170"/>
      <c r="I3" s="170"/>
      <c r="J3" s="197"/>
      <c r="K3" s="216"/>
      <c r="L3" s="296"/>
      <c r="M3" s="220"/>
    </row>
    <row r="4" spans="1:13">
      <c r="A4" s="381"/>
      <c r="B4" s="31">
        <f>'01_Theory Course List'!B4</f>
        <v>3</v>
      </c>
      <c r="C4" s="38" t="str">
        <f>'01_Theory Course List'!C4</f>
        <v>BME 203</v>
      </c>
      <c r="D4" s="193" t="str">
        <f>'01_Theory Course List'!D4</f>
        <v>Human Physiology</v>
      </c>
      <c r="E4" s="303"/>
      <c r="F4" s="34" t="str">
        <f>IFERROR(INDEX('01_Theory Course List'!$G$2:$G$479,MATCH(C4,'01_Theory Course List'!$C$2:$C$479,0)),"")</f>
        <v>Ms. Tasnia Binte Mamun</v>
      </c>
      <c r="G4" s="169" t="str">
        <f>IFERROR(INDEX('01_Theory Course List'!$H$2:$H$479,MATCH(C4,'01_Theory Course List'!$C$2:$C$479,0)),"")</f>
        <v>Ms. Chaity Chakraborty</v>
      </c>
      <c r="H4" s="170"/>
      <c r="I4" s="170"/>
      <c r="J4" s="197"/>
      <c r="K4" s="216"/>
      <c r="L4" s="296"/>
      <c r="M4" s="220"/>
    </row>
    <row r="5" spans="1:13">
      <c r="A5" s="381"/>
      <c r="B5" s="31">
        <f>'01_Theory Course List'!B5</f>
        <v>4</v>
      </c>
      <c r="C5" s="38" t="str">
        <f>'01_Theory Course List'!C5</f>
        <v>BME 211</v>
      </c>
      <c r="D5" s="193" t="str">
        <f>'01_Theory Course List'!D5</f>
        <v>Bioelectricity</v>
      </c>
      <c r="E5" s="303"/>
      <c r="F5" s="34" t="str">
        <f>IFERROR(INDEX('01_Theory Course List'!$G$2:$G$479,MATCH(C5,'01_Theory Course List'!$C$2:$C$479,0)),"")</f>
        <v>Mr. Samiul Based Shuvo</v>
      </c>
      <c r="G5" s="169" t="str">
        <f>IFERROR(INDEX('01_Theory Course List'!$H$2:$H$479,MATCH(C5,'01_Theory Course List'!$C$2:$C$479,0)),"")</f>
        <v>Mr. Sadman Sakib Himel</v>
      </c>
      <c r="H5" s="170"/>
      <c r="I5" s="170"/>
      <c r="J5" s="197"/>
      <c r="K5" s="216"/>
      <c r="L5" s="296"/>
      <c r="M5" s="220"/>
    </row>
    <row r="6" spans="1:13">
      <c r="A6" s="381"/>
      <c r="B6" s="31">
        <f>'01_Theory Course List'!B6</f>
        <v>5</v>
      </c>
      <c r="C6" s="38" t="str">
        <f>'01_Theory Course List'!C6</f>
        <v>BME 205</v>
      </c>
      <c r="D6" s="193" t="str">
        <f>'01_Theory Course List'!D6</f>
        <v>Biofluid Mechanics and Heat Transfer</v>
      </c>
      <c r="E6" s="303"/>
      <c r="F6" s="34" t="str">
        <f>IFERROR(INDEX('01_Theory Course List'!$G$2:$G$479,MATCH(C6,'01_Theory Course List'!$C$2:$C$479,0)),"")</f>
        <v>Mr. Shoyad Ibn Sabur Khan Nuhash</v>
      </c>
      <c r="G6" s="169" t="str">
        <f>IFERROR(INDEX('01_Theory Course List'!$H$2:$H$479,MATCH(C6,'01_Theory Course List'!$C$2:$C$479,0)),"")</f>
        <v>Mr. Md. Abdullah Al Mamun</v>
      </c>
      <c r="H6" s="170"/>
      <c r="I6" s="170"/>
      <c r="J6" s="197"/>
      <c r="K6" s="216"/>
      <c r="L6" s="296"/>
      <c r="M6" s="220"/>
    </row>
    <row r="7" spans="1:13">
      <c r="A7" s="381"/>
      <c r="B7" s="31">
        <f>'01_Theory Course List'!B7</f>
        <v>6</v>
      </c>
      <c r="C7" s="38" t="str">
        <f>'01_Theory Course List'!C7</f>
        <v>BME  207</v>
      </c>
      <c r="D7" s="193" t="str">
        <f>'01_Theory Course List'!D7</f>
        <v>Biomaterials</v>
      </c>
      <c r="E7" s="303"/>
      <c r="F7" s="34" t="str">
        <f>IFERROR(INDEX('01_Theory Course List'!$G$2:$G$479,MATCH(C7,'01_Theory Course List'!$C$2:$C$479,0)),"")</f>
        <v>Ms. Samina Nishat Binte Akram</v>
      </c>
      <c r="G7" s="169" t="str">
        <f>IFERROR(INDEX('01_Theory Course List'!$H$2:$H$479,MATCH(C7,'01_Theory Course List'!$C$2:$C$479,0)),"")</f>
        <v>Dr. M. Tarik Arafat</v>
      </c>
      <c r="H7" s="170"/>
      <c r="I7" s="170"/>
      <c r="J7" s="197"/>
      <c r="K7" s="216"/>
      <c r="L7" s="296"/>
      <c r="M7" s="220"/>
    </row>
    <row r="8" spans="1:13">
      <c r="A8" s="381"/>
      <c r="B8" s="31">
        <f>'01_Theory Course List'!B8</f>
        <v>7</v>
      </c>
      <c r="C8" s="38" t="str">
        <f>'01_Theory Course List'!C8</f>
        <v>BME 309</v>
      </c>
      <c r="D8" s="193" t="str">
        <f>'01_Theory Course List'!D8</f>
        <v>Quantitative Physiology</v>
      </c>
      <c r="E8" s="303"/>
      <c r="F8" s="34" t="str">
        <f>IFERROR(INDEX('01_Theory Course List'!$G$2:$G$479,MATCH(C8,'01_Theory Course List'!$C$2:$C$479,0)),"")</f>
        <v>Mr. Md. Tazuddin Ahmed Akash</v>
      </c>
      <c r="G8" s="169" t="str">
        <f>IFERROR(INDEX('01_Theory Course List'!$H$2:$H$479,MATCH(C8,'01_Theory Course List'!$C$2:$C$479,0)),"")</f>
        <v>Ms. Omi Bonik</v>
      </c>
      <c r="H8" s="170"/>
      <c r="I8" s="170"/>
      <c r="J8" s="197"/>
      <c r="K8" s="216"/>
      <c r="L8" s="296"/>
      <c r="M8" s="220"/>
    </row>
    <row r="9" spans="1:13">
      <c r="A9" s="381"/>
      <c r="B9" s="31">
        <f>'01_Theory Course List'!B9</f>
        <v>8</v>
      </c>
      <c r="C9" s="38" t="str">
        <f>'01_Theory Course List'!C9</f>
        <v>BME 303</v>
      </c>
      <c r="D9" s="193" t="str">
        <f>'01_Theory Course List'!D9</f>
        <v>Biomedical Instrumentation and Measurements</v>
      </c>
      <c r="E9" s="303"/>
      <c r="F9" s="34" t="str">
        <f>IFERROR(INDEX('01_Theory Course List'!$G$2:$G$479,MATCH(C9,'01_Theory Course List'!$C$2:$C$479,0)),"")</f>
        <v>Mr. Samiul Based Shuvo</v>
      </c>
      <c r="G9" s="169" t="str">
        <f>IFERROR(INDEX('01_Theory Course List'!$H$2:$H$479,MATCH(C9,'01_Theory Course List'!$C$2:$C$479,0)),"")</f>
        <v>Mr. Sayeed Sajjad Razin</v>
      </c>
      <c r="H9" s="170"/>
      <c r="I9" s="170"/>
      <c r="J9" s="197"/>
      <c r="K9" s="216"/>
      <c r="L9" s="296"/>
      <c r="M9" s="220"/>
    </row>
    <row r="10" spans="1:13">
      <c r="A10" s="381"/>
      <c r="B10" s="31">
        <f>'01_Theory Course List'!B10</f>
        <v>9</v>
      </c>
      <c r="C10" s="38" t="str">
        <f>'01_Theory Course List'!C10</f>
        <v>BME 311</v>
      </c>
      <c r="D10" s="193" t="str">
        <f>'01_Theory Course List'!D10</f>
        <v>Biomedical Signals and Systems</v>
      </c>
      <c r="E10" s="303"/>
      <c r="F10" s="34" t="str">
        <f>IFERROR(INDEX('01_Theory Course List'!$G$2:$G$479,MATCH(C10,'01_Theory Course List'!$C$2:$C$479,0)),"")</f>
        <v>Mr. Shoyad Ibn Sabur Khan Nuhash</v>
      </c>
      <c r="G10" s="169" t="str">
        <f>IFERROR(INDEX('01_Theory Course List'!$H$2:$H$479,MATCH(C10,'01_Theory Course List'!$C$2:$C$479,0)),"")</f>
        <v>Dr. Taufiq Hasan</v>
      </c>
      <c r="H10" s="170"/>
      <c r="I10" s="170"/>
      <c r="J10" s="197"/>
      <c r="K10" s="216"/>
      <c r="L10" s="296"/>
      <c r="M10" s="220"/>
    </row>
    <row r="11" spans="1:13">
      <c r="A11" s="381"/>
      <c r="B11" s="31">
        <f>'01_Theory Course List'!B11</f>
        <v>10</v>
      </c>
      <c r="C11" s="38" t="str">
        <f>'01_Theory Course List'!C11</f>
        <v>BME 403</v>
      </c>
      <c r="D11" s="193" t="str">
        <f>'01_Theory Course List'!D11</f>
        <v>Medical Imaging</v>
      </c>
      <c r="E11" s="303"/>
      <c r="F11" s="34" t="str">
        <f>IFERROR(INDEX('01_Theory Course List'!$G$2:$G$479,MATCH(C11,'01_Theory Course List'!$C$2:$C$479,0)),"")</f>
        <v>Ms. Tasnia Binte Mamun</v>
      </c>
      <c r="G11" s="169" t="str">
        <f>IFERROR(INDEX('01_Theory Course List'!$H$2:$H$479,MATCH(C11,'01_Theory Course List'!$C$2:$C$479,0)),"")</f>
        <v>Mr. Shoyad Ibn Sabur Khan Nuhash</v>
      </c>
      <c r="H11" s="170"/>
      <c r="I11" s="170"/>
      <c r="J11" s="197"/>
      <c r="K11" s="216"/>
      <c r="L11" s="296"/>
      <c r="M11" s="220"/>
    </row>
    <row r="12" spans="1:13">
      <c r="A12" s="381"/>
      <c r="B12" s="31">
        <f>'01_Theory Course List'!B12</f>
        <v>11</v>
      </c>
      <c r="C12" s="38" t="str">
        <f>'01_Theory Course List'!C12</f>
        <v>BME 409 (Elective)</v>
      </c>
      <c r="D12" s="193" t="str">
        <f>'01_Theory Course List'!D12</f>
        <v>Tissue Engineering and Regenerative Medicine</v>
      </c>
      <c r="E12" s="303"/>
      <c r="F12" s="34" t="str">
        <f>IFERROR(INDEX('01_Theory Course List'!$G$2:$G$479,MATCH(C12,'01_Theory Course List'!$C$2:$C$479,0)),"")</f>
        <v>Ms. Srija Sarker Anannya</v>
      </c>
      <c r="G12" s="169" t="str">
        <f>IFERROR(INDEX('01_Theory Course List'!$H$2:$H$479,MATCH(C12,'01_Theory Course List'!$C$2:$C$479,0)),"")</f>
        <v>Ms. Chaity Chakraborty</v>
      </c>
      <c r="H12" s="170"/>
      <c r="I12" s="170"/>
      <c r="J12" s="197"/>
      <c r="K12" s="216"/>
      <c r="L12" s="296"/>
      <c r="M12" s="220"/>
    </row>
    <row r="13" spans="1:13">
      <c r="A13" s="381"/>
      <c r="B13" s="31">
        <f>'01_Theory Course List'!B13</f>
        <v>12</v>
      </c>
      <c r="C13" s="38" t="str">
        <f>'01_Theory Course List'!C13</f>
        <v>BME 449 (Elective)</v>
      </c>
      <c r="D13" s="193" t="str">
        <f>'01_Theory Course List'!D13</f>
        <v>Machine Learning for Biomedical Engineers</v>
      </c>
      <c r="E13" s="303"/>
      <c r="F13" s="34" t="str">
        <f>IFERROR(INDEX('01_Theory Course List'!$G$2:$G$479,MATCH(C13,'01_Theory Course List'!$C$2:$C$479,0)),"")</f>
        <v>Dr. Taufiq Hasan</v>
      </c>
      <c r="G13" s="169" t="str">
        <f>IFERROR(INDEX('01_Theory Course List'!$H$2:$H$479,MATCH(C13,'01_Theory Course List'!$C$2:$C$479,0)),"")</f>
        <v>Mr. Sayeed Sajjad Razin</v>
      </c>
      <c r="H13" s="170"/>
      <c r="I13" s="170"/>
      <c r="J13" s="197"/>
      <c r="K13" s="216"/>
      <c r="L13" s="296"/>
      <c r="M13" s="220"/>
    </row>
    <row r="14" spans="1:13">
      <c r="A14" s="382"/>
      <c r="B14" s="162">
        <f>'01_Theory Course List'!B14</f>
        <v>13</v>
      </c>
      <c r="C14" s="161" t="str">
        <f>'01_Theory Course List'!C14</f>
        <v>BME 441 (Elective)</v>
      </c>
      <c r="D14" s="194" t="str">
        <f>'01_Theory Course List'!D14</f>
        <v>Neural Engineering</v>
      </c>
      <c r="E14" s="304"/>
      <c r="F14" s="160" t="str">
        <f>IFERROR(INDEX('01_Theory Course List'!$G$2:$G$479,MATCH(C14,'01_Theory Course List'!$C$2:$C$479,0)),"")</f>
        <v>Mr. Md. Tazuddin Ahmed Akash</v>
      </c>
      <c r="G14" s="178" t="str">
        <f>IFERROR(INDEX('01_Theory Course List'!$H$2:$H$479,MATCH(C14,'01_Theory Course List'!$C$2:$C$479,0)),"")</f>
        <v>Mr. Samiul Based Shuvo</v>
      </c>
      <c r="H14" s="179"/>
      <c r="I14" s="179"/>
      <c r="J14" s="198"/>
      <c r="K14" s="217"/>
      <c r="L14" s="296"/>
      <c r="M14" s="222"/>
    </row>
    <row r="15" spans="1:13">
      <c r="A15" s="381" t="s">
        <v>77</v>
      </c>
      <c r="B15" s="335">
        <v>14</v>
      </c>
      <c r="C15" s="301" t="s">
        <v>78</v>
      </c>
      <c r="D15" s="384" t="s">
        <v>79</v>
      </c>
      <c r="E15" s="147" t="s">
        <v>80</v>
      </c>
      <c r="F15" s="184" t="s">
        <v>40</v>
      </c>
      <c r="G15" s="172" t="s">
        <v>41</v>
      </c>
      <c r="H15" s="172" t="s">
        <v>45</v>
      </c>
      <c r="I15" s="174"/>
      <c r="J15" s="157"/>
      <c r="K15" s="298"/>
      <c r="L15" s="296"/>
      <c r="M15" s="313"/>
    </row>
    <row r="16" spans="1:13">
      <c r="A16" s="381"/>
      <c r="B16" s="327"/>
      <c r="C16" s="294"/>
      <c r="D16" s="293"/>
      <c r="E16" s="146" t="s">
        <v>81</v>
      </c>
      <c r="F16" s="129" t="s">
        <v>40</v>
      </c>
      <c r="G16" s="108" t="s">
        <v>41</v>
      </c>
      <c r="H16" s="108" t="s">
        <v>45</v>
      </c>
      <c r="I16" s="111"/>
      <c r="J16" s="199"/>
      <c r="K16" s="299"/>
      <c r="L16" s="296"/>
      <c r="M16" s="312"/>
    </row>
    <row r="17" spans="1:13">
      <c r="A17" s="381"/>
      <c r="B17" s="379">
        <v>15</v>
      </c>
      <c r="C17" s="294" t="s">
        <v>82</v>
      </c>
      <c r="D17" s="293" t="s">
        <v>83</v>
      </c>
      <c r="E17" s="147" t="s">
        <v>80</v>
      </c>
      <c r="F17" s="184" t="s">
        <v>52</v>
      </c>
      <c r="G17" s="172" t="s">
        <v>55</v>
      </c>
      <c r="H17" s="172" t="s">
        <v>44</v>
      </c>
      <c r="I17" s="172" t="s">
        <v>45</v>
      </c>
      <c r="J17" s="157"/>
      <c r="K17" s="300"/>
      <c r="L17" s="296"/>
      <c r="M17" s="312"/>
    </row>
    <row r="18" spans="1:13">
      <c r="A18" s="381"/>
      <c r="B18" s="327"/>
      <c r="C18" s="294"/>
      <c r="D18" s="293"/>
      <c r="E18" s="146" t="s">
        <v>81</v>
      </c>
      <c r="F18" s="129" t="s">
        <v>52</v>
      </c>
      <c r="G18" s="108" t="s">
        <v>55</v>
      </c>
      <c r="H18" s="108" t="s">
        <v>44</v>
      </c>
      <c r="I18" s="108" t="s">
        <v>59</v>
      </c>
      <c r="J18" s="199"/>
      <c r="K18" s="300"/>
      <c r="L18" s="296"/>
      <c r="M18" s="312"/>
    </row>
    <row r="19" spans="1:13">
      <c r="A19" s="381"/>
      <c r="B19" s="379">
        <v>16</v>
      </c>
      <c r="C19" s="294" t="s">
        <v>84</v>
      </c>
      <c r="D19" s="293" t="s">
        <v>85</v>
      </c>
      <c r="E19" s="147" t="s">
        <v>80</v>
      </c>
      <c r="F19" s="184" t="s">
        <v>52</v>
      </c>
      <c r="G19" s="172" t="s">
        <v>40</v>
      </c>
      <c r="H19" s="172" t="s">
        <v>59</v>
      </c>
      <c r="I19" s="174"/>
      <c r="J19" s="157"/>
      <c r="K19" s="300"/>
      <c r="L19" s="296"/>
      <c r="M19" s="312"/>
    </row>
    <row r="20" spans="1:13">
      <c r="A20" s="381"/>
      <c r="B20" s="327"/>
      <c r="C20" s="294"/>
      <c r="D20" s="293"/>
      <c r="E20" s="146" t="s">
        <v>81</v>
      </c>
      <c r="F20" s="129" t="s">
        <v>52</v>
      </c>
      <c r="G20" s="108" t="s">
        <v>40</v>
      </c>
      <c r="H20" s="108" t="s">
        <v>49</v>
      </c>
      <c r="I20" s="111"/>
      <c r="J20" s="199"/>
      <c r="K20" s="300"/>
      <c r="L20" s="296"/>
      <c r="M20" s="312"/>
    </row>
    <row r="21" spans="1:13">
      <c r="A21" s="381"/>
      <c r="B21" s="379">
        <v>17</v>
      </c>
      <c r="C21" s="294" t="s">
        <v>86</v>
      </c>
      <c r="D21" s="293" t="s">
        <v>87</v>
      </c>
      <c r="E21" s="147" t="s">
        <v>80</v>
      </c>
      <c r="F21" s="184" t="s">
        <v>55</v>
      </c>
      <c r="G21" s="172" t="s">
        <v>41</v>
      </c>
      <c r="H21" s="172" t="s">
        <v>45</v>
      </c>
      <c r="I21" s="174"/>
      <c r="J21" s="157"/>
      <c r="K21" s="300"/>
      <c r="L21" s="296"/>
      <c r="M21" s="312"/>
    </row>
    <row r="22" spans="1:13">
      <c r="A22" s="381"/>
      <c r="B22" s="327"/>
      <c r="C22" s="294"/>
      <c r="D22" s="293"/>
      <c r="E22" s="146" t="s">
        <v>81</v>
      </c>
      <c r="F22" s="129" t="s">
        <v>55</v>
      </c>
      <c r="G22" s="108" t="s">
        <v>41</v>
      </c>
      <c r="H22" s="108" t="s">
        <v>45</v>
      </c>
      <c r="I22" s="111"/>
      <c r="J22" s="199"/>
      <c r="K22" s="300"/>
      <c r="L22" s="296"/>
      <c r="M22" s="312"/>
    </row>
    <row r="23" spans="1:13">
      <c r="A23" s="381"/>
      <c r="B23" s="379">
        <v>18</v>
      </c>
      <c r="C23" s="294" t="s">
        <v>88</v>
      </c>
      <c r="D23" s="293" t="s">
        <v>89</v>
      </c>
      <c r="E23" s="147" t="s">
        <v>80</v>
      </c>
      <c r="F23" s="186" t="s">
        <v>58</v>
      </c>
      <c r="G23" s="171" t="s">
        <v>62</v>
      </c>
      <c r="H23" s="171" t="s">
        <v>49</v>
      </c>
      <c r="I23" s="173"/>
      <c r="J23" s="200"/>
      <c r="K23" s="300"/>
      <c r="L23" s="296"/>
      <c r="M23" s="312"/>
    </row>
    <row r="24" spans="1:13">
      <c r="A24" s="381"/>
      <c r="B24" s="327"/>
      <c r="C24" s="294"/>
      <c r="D24" s="293"/>
      <c r="E24" s="146" t="s">
        <v>81</v>
      </c>
      <c r="F24" s="129" t="s">
        <v>58</v>
      </c>
      <c r="G24" s="108" t="s">
        <v>62</v>
      </c>
      <c r="H24" s="108" t="s">
        <v>49</v>
      </c>
      <c r="I24" s="111"/>
      <c r="J24" s="199"/>
      <c r="K24" s="300"/>
      <c r="L24" s="296"/>
      <c r="M24" s="312"/>
    </row>
    <row r="25" spans="1:13">
      <c r="A25" s="381"/>
      <c r="B25" s="379">
        <v>19</v>
      </c>
      <c r="C25" s="294" t="s">
        <v>90</v>
      </c>
      <c r="D25" s="293" t="s">
        <v>91</v>
      </c>
      <c r="E25" s="147" t="s">
        <v>80</v>
      </c>
      <c r="F25" s="184" t="s">
        <v>52</v>
      </c>
      <c r="G25" s="172" t="s">
        <v>48</v>
      </c>
      <c r="H25" s="172" t="s">
        <v>40</v>
      </c>
      <c r="I25" s="172" t="s">
        <v>55</v>
      </c>
      <c r="J25" s="61" t="s">
        <v>45</v>
      </c>
      <c r="K25" s="300"/>
      <c r="L25" s="296"/>
      <c r="M25" s="312"/>
    </row>
    <row r="26" spans="1:13">
      <c r="A26" s="381"/>
      <c r="B26" s="327"/>
      <c r="C26" s="294"/>
      <c r="D26" s="293"/>
      <c r="E26" s="146" t="s">
        <v>81</v>
      </c>
      <c r="F26" s="129" t="s">
        <v>48</v>
      </c>
      <c r="G26" s="108" t="s">
        <v>58</v>
      </c>
      <c r="H26" s="108" t="s">
        <v>40</v>
      </c>
      <c r="I26" s="108" t="s">
        <v>41</v>
      </c>
      <c r="J26" s="201" t="s">
        <v>62</v>
      </c>
      <c r="K26" s="300"/>
      <c r="L26" s="296"/>
      <c r="M26" s="312"/>
    </row>
    <row r="27" spans="1:13">
      <c r="A27" s="381"/>
      <c r="B27" s="379">
        <v>20</v>
      </c>
      <c r="C27" s="294" t="s">
        <v>92</v>
      </c>
      <c r="D27" s="293" t="s">
        <v>93</v>
      </c>
      <c r="E27" s="147" t="s">
        <v>80</v>
      </c>
      <c r="F27" s="184" t="s">
        <v>48</v>
      </c>
      <c r="G27" s="172" t="s">
        <v>62</v>
      </c>
      <c r="H27" s="172" t="s">
        <v>49</v>
      </c>
      <c r="I27" s="174"/>
      <c r="J27" s="157"/>
      <c r="K27" s="300"/>
      <c r="L27" s="296"/>
      <c r="M27" s="312"/>
    </row>
    <row r="28" spans="1:13">
      <c r="A28" s="381"/>
      <c r="B28" s="327"/>
      <c r="C28" s="294"/>
      <c r="D28" s="293"/>
      <c r="E28" s="146" t="s">
        <v>81</v>
      </c>
      <c r="F28" s="129" t="s">
        <v>48</v>
      </c>
      <c r="G28" s="108" t="s">
        <v>62</v>
      </c>
      <c r="H28" s="108" t="s">
        <v>49</v>
      </c>
      <c r="I28" s="111"/>
      <c r="J28" s="199"/>
      <c r="K28" s="300"/>
      <c r="L28" s="296"/>
      <c r="M28" s="312"/>
    </row>
    <row r="29" spans="1:13">
      <c r="A29" s="381"/>
      <c r="B29" s="379">
        <v>21</v>
      </c>
      <c r="C29" s="294" t="s">
        <v>94</v>
      </c>
      <c r="D29" s="293" t="s">
        <v>95</v>
      </c>
      <c r="E29" s="147" t="s">
        <v>80</v>
      </c>
      <c r="F29" s="184" t="s">
        <v>58</v>
      </c>
      <c r="G29" s="172" t="s">
        <v>62</v>
      </c>
      <c r="H29" s="172" t="s">
        <v>49</v>
      </c>
      <c r="I29" s="174"/>
      <c r="J29" s="157"/>
      <c r="K29" s="300"/>
      <c r="L29" s="296"/>
      <c r="M29" s="312"/>
    </row>
    <row r="30" spans="1:13">
      <c r="A30" s="381"/>
      <c r="B30" s="327"/>
      <c r="C30" s="294"/>
      <c r="D30" s="293"/>
      <c r="E30" s="146" t="s">
        <v>81</v>
      </c>
      <c r="F30" s="129" t="s">
        <v>44</v>
      </c>
      <c r="G30" s="108" t="s">
        <v>59</v>
      </c>
      <c r="H30" s="108" t="s">
        <v>49</v>
      </c>
      <c r="I30" s="111"/>
      <c r="J30" s="199"/>
      <c r="K30" s="300"/>
      <c r="L30" s="296"/>
      <c r="M30" s="312"/>
    </row>
    <row r="31" spans="1:13">
      <c r="A31" s="381"/>
      <c r="B31" s="379">
        <v>22</v>
      </c>
      <c r="C31" s="290" t="s">
        <v>96</v>
      </c>
      <c r="D31" s="293" t="s">
        <v>97</v>
      </c>
      <c r="E31" s="147" t="s">
        <v>80</v>
      </c>
      <c r="F31" s="184" t="s">
        <v>58</v>
      </c>
      <c r="G31" s="172" t="s">
        <v>44</v>
      </c>
      <c r="H31" s="172" t="s">
        <v>59</v>
      </c>
      <c r="I31" s="174"/>
      <c r="J31" s="157"/>
      <c r="K31" s="300"/>
      <c r="L31" s="296"/>
      <c r="M31" s="312"/>
    </row>
    <row r="32" spans="1:13">
      <c r="A32" s="381"/>
      <c r="B32" s="327"/>
      <c r="C32" s="290"/>
      <c r="D32" s="293"/>
      <c r="E32" s="146" t="s">
        <v>81</v>
      </c>
      <c r="F32" s="129" t="s">
        <v>58</v>
      </c>
      <c r="G32" s="108" t="s">
        <v>44</v>
      </c>
      <c r="H32" s="108" t="s">
        <v>59</v>
      </c>
      <c r="I32" s="111"/>
      <c r="J32" s="199"/>
      <c r="K32" s="300"/>
      <c r="L32" s="296"/>
      <c r="M32" s="312"/>
    </row>
    <row r="33" spans="1:13">
      <c r="A33" s="383"/>
      <c r="B33" s="80">
        <v>23</v>
      </c>
      <c r="C33" s="163" t="s">
        <v>98</v>
      </c>
      <c r="D33" s="195" t="s">
        <v>99</v>
      </c>
      <c r="E33" s="104" t="s">
        <v>35</v>
      </c>
      <c r="F33" s="130" t="s">
        <v>36</v>
      </c>
      <c r="G33" s="131" t="s">
        <v>65</v>
      </c>
      <c r="H33" s="131" t="s">
        <v>37</v>
      </c>
      <c r="I33" s="132"/>
      <c r="J33" s="202"/>
      <c r="K33" s="218"/>
      <c r="L33" s="297"/>
      <c r="M33" s="221"/>
    </row>
  </sheetData>
  <mergeCells count="49">
    <mergeCell ref="M27:M28"/>
    <mergeCell ref="M29:M30"/>
    <mergeCell ref="M31:M32"/>
    <mergeCell ref="M15:M16"/>
    <mergeCell ref="M17:M18"/>
    <mergeCell ref="M19:M20"/>
    <mergeCell ref="M21:M22"/>
    <mergeCell ref="M23:M24"/>
    <mergeCell ref="M25:M26"/>
    <mergeCell ref="B29:B30"/>
    <mergeCell ref="C29:C30"/>
    <mergeCell ref="D29:D30"/>
    <mergeCell ref="K29:K30"/>
    <mergeCell ref="B31:B32"/>
    <mergeCell ref="C31:C32"/>
    <mergeCell ref="D31:D32"/>
    <mergeCell ref="K31:K32"/>
    <mergeCell ref="B25:B26"/>
    <mergeCell ref="C25:C26"/>
    <mergeCell ref="D25:D26"/>
    <mergeCell ref="K25:K26"/>
    <mergeCell ref="B27:B28"/>
    <mergeCell ref="C27:C28"/>
    <mergeCell ref="D27:D28"/>
    <mergeCell ref="K27:K28"/>
    <mergeCell ref="B21:B22"/>
    <mergeCell ref="C21:C22"/>
    <mergeCell ref="D21:D22"/>
    <mergeCell ref="K21:K22"/>
    <mergeCell ref="B23:B24"/>
    <mergeCell ref="C23:C24"/>
    <mergeCell ref="D23:D24"/>
    <mergeCell ref="K23:K24"/>
    <mergeCell ref="A2:A14"/>
    <mergeCell ref="E2:E14"/>
    <mergeCell ref="L2:L33"/>
    <mergeCell ref="A15:A33"/>
    <mergeCell ref="B15:B16"/>
    <mergeCell ref="C15:C16"/>
    <mergeCell ref="D15:D16"/>
    <mergeCell ref="K15:K16"/>
    <mergeCell ref="B17:B18"/>
    <mergeCell ref="C17:C18"/>
    <mergeCell ref="D17:D18"/>
    <mergeCell ref="K17:K18"/>
    <mergeCell ref="B19:B20"/>
    <mergeCell ref="C19:C20"/>
    <mergeCell ref="D19:D20"/>
    <mergeCell ref="K19:K20"/>
  </mergeCells>
  <conditionalFormatting sqref="K2:K14">
    <cfRule type="cellIs" dxfId="8" priority="4" operator="equal">
      <formula>"Uploaded in Drive"</formula>
    </cfRule>
    <cfRule type="cellIs" dxfId="7" priority="5" operator="equal">
      <formula>"Prepared"</formula>
    </cfRule>
    <cfRule type="cellIs" dxfId="6" priority="6" operator="equal">
      <formula>"Under Preparation"</formula>
    </cfRule>
  </conditionalFormatting>
  <conditionalFormatting sqref="K15 G15:G33 K17 K19 K21 K23 K25 K27 K29 K31">
    <cfRule type="cellIs" dxfId="5" priority="105" operator="equal">
      <formula>"Under Preparation"</formula>
    </cfRule>
    <cfRule type="cellIs" dxfId="4" priority="106" operator="equal">
      <formula>"Prepared"</formula>
    </cfRule>
    <cfRule type="cellIs" dxfId="3" priority="107" operator="equal">
      <formula>"Shared with Students"</formula>
    </cfRule>
  </conditionalFormatting>
  <conditionalFormatting sqref="K33">
    <cfRule type="cellIs" dxfId="2" priority="1" operator="equal">
      <formula>"Uploaded in Drive"</formula>
    </cfRule>
    <cfRule type="cellIs" dxfId="1" priority="2" operator="equal">
      <formula>"Prepared"</formula>
    </cfRule>
    <cfRule type="cellIs" dxfId="0" priority="3" operator="equal">
      <formula>"Under Preparation"</formula>
    </cfRule>
  </conditionalFormatting>
  <dataValidations count="3">
    <dataValidation type="list" allowBlank="1" showInputMessage="1" showErrorMessage="1" sqref="K17 K19 K21 K23 K25 K27 K29 K31 K15" xr:uid="{5B8E951F-528D-425F-AF81-18D11AF9B48C}">
      <formula1>CourseOutlineStatus</formula1>
    </dataValidation>
    <dataValidation type="list" allowBlank="1" showInputMessage="1" showErrorMessage="1" sqref="F15:J33 H2:J14" xr:uid="{AE0714A2-CAEA-4A21-900B-7777FC04543C}">
      <formula1>Faculty_List</formula1>
    </dataValidation>
    <dataValidation type="list" allowBlank="1" showInputMessage="1" showErrorMessage="1" sqref="K2:K14 K33" xr:uid="{97CC4AFC-3331-4ADC-97AF-FDD8C5E9D9EE}">
      <formula1>CAR_CourseFileStatus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"/>
  <sheetViews>
    <sheetView topLeftCell="E1" zoomScaleNormal="100" workbookViewId="0">
      <selection activeCell="F13" sqref="F13"/>
    </sheetView>
  </sheetViews>
  <sheetFormatPr defaultColWidth="8.7109375" defaultRowHeight="15"/>
  <cols>
    <col min="1" max="1" width="22" bestFit="1" customWidth="1"/>
    <col min="2" max="2" width="32.28515625" bestFit="1" customWidth="1"/>
    <col min="3" max="3" width="24.5703125" bestFit="1" customWidth="1"/>
    <col min="4" max="4" width="24.5703125" customWidth="1"/>
    <col min="5" max="5" width="21.140625" bestFit="1" customWidth="1"/>
    <col min="6" max="6" width="28.42578125" bestFit="1" customWidth="1"/>
    <col min="7" max="7" width="28.7109375" bestFit="1" customWidth="1"/>
    <col min="8" max="8" width="32.42578125" bestFit="1" customWidth="1"/>
    <col min="9" max="9" width="34.28515625" bestFit="1" customWidth="1"/>
    <col min="10" max="10" width="27.42578125" bestFit="1" customWidth="1"/>
    <col min="11" max="11" width="28.5703125" bestFit="1" customWidth="1"/>
    <col min="12" max="12" width="29.7109375" bestFit="1" customWidth="1"/>
    <col min="13" max="13" width="28" bestFit="1" customWidth="1"/>
  </cols>
  <sheetData>
    <row r="1" spans="1:13">
      <c r="A1" s="1" t="s">
        <v>170</v>
      </c>
      <c r="B1" s="8" t="s">
        <v>171</v>
      </c>
      <c r="C1" s="1" t="s">
        <v>172</v>
      </c>
      <c r="D1" s="8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8" t="s">
        <v>180</v>
      </c>
      <c r="L1" s="1" t="s">
        <v>181</v>
      </c>
      <c r="M1" s="1" t="s">
        <v>182</v>
      </c>
    </row>
    <row r="2" spans="1:13">
      <c r="A2" t="s">
        <v>183</v>
      </c>
      <c r="B2" t="s">
        <v>36</v>
      </c>
      <c r="C2" t="s">
        <v>118</v>
      </c>
      <c r="D2" t="s">
        <v>184</v>
      </c>
      <c r="E2" t="s">
        <v>183</v>
      </c>
      <c r="F2" t="s">
        <v>185</v>
      </c>
      <c r="G2" t="s">
        <v>186</v>
      </c>
      <c r="H2" t="s">
        <v>187</v>
      </c>
      <c r="I2" t="s">
        <v>183</v>
      </c>
      <c r="J2" t="s">
        <v>187</v>
      </c>
      <c r="K2" t="s">
        <v>183</v>
      </c>
      <c r="L2" t="s">
        <v>135</v>
      </c>
      <c r="M2" t="s">
        <v>188</v>
      </c>
    </row>
    <row r="3" spans="1:13">
      <c r="A3" t="s">
        <v>189</v>
      </c>
      <c r="B3" t="s">
        <v>65</v>
      </c>
      <c r="C3" t="s">
        <v>190</v>
      </c>
      <c r="D3" t="s">
        <v>191</v>
      </c>
      <c r="E3" t="s">
        <v>192</v>
      </c>
      <c r="F3" t="s">
        <v>193</v>
      </c>
      <c r="G3" t="s">
        <v>194</v>
      </c>
      <c r="H3" t="s">
        <v>195</v>
      </c>
      <c r="I3" t="s">
        <v>189</v>
      </c>
      <c r="J3" t="s">
        <v>195</v>
      </c>
      <c r="K3" t="s">
        <v>189</v>
      </c>
      <c r="L3" t="s">
        <v>132</v>
      </c>
      <c r="M3" t="s">
        <v>129</v>
      </c>
    </row>
    <row r="4" spans="1:13">
      <c r="A4" t="s">
        <v>102</v>
      </c>
      <c r="B4" t="s">
        <v>37</v>
      </c>
      <c r="C4" t="s">
        <v>117</v>
      </c>
      <c r="E4" t="s">
        <v>196</v>
      </c>
      <c r="F4" t="s">
        <v>197</v>
      </c>
      <c r="G4" t="s">
        <v>198</v>
      </c>
      <c r="H4" t="s">
        <v>199</v>
      </c>
      <c r="I4" t="s">
        <v>200</v>
      </c>
      <c r="J4" t="s">
        <v>196</v>
      </c>
      <c r="K4" t="s">
        <v>201</v>
      </c>
      <c r="L4" t="s">
        <v>133</v>
      </c>
      <c r="M4" t="s">
        <v>136</v>
      </c>
    </row>
    <row r="5" spans="1:13">
      <c r="B5" t="s">
        <v>52</v>
      </c>
      <c r="C5" t="s">
        <v>202</v>
      </c>
      <c r="I5" t="s">
        <v>203</v>
      </c>
      <c r="J5" t="s">
        <v>204</v>
      </c>
      <c r="L5" t="s">
        <v>128</v>
      </c>
      <c r="M5" t="s">
        <v>131</v>
      </c>
    </row>
    <row r="6" spans="1:13">
      <c r="B6" t="s">
        <v>48</v>
      </c>
      <c r="C6" t="s">
        <v>113</v>
      </c>
      <c r="L6" t="s">
        <v>205</v>
      </c>
    </row>
    <row r="7" spans="1:13">
      <c r="B7" t="s">
        <v>58</v>
      </c>
      <c r="L7" t="s">
        <v>206</v>
      </c>
    </row>
    <row r="8" spans="1:13">
      <c r="B8" t="s">
        <v>40</v>
      </c>
      <c r="L8" t="s">
        <v>207</v>
      </c>
    </row>
    <row r="9" spans="1:13">
      <c r="B9" t="s">
        <v>55</v>
      </c>
      <c r="L9" t="s">
        <v>208</v>
      </c>
    </row>
    <row r="10" spans="1:13">
      <c r="B10" t="s">
        <v>44</v>
      </c>
      <c r="L10" t="s">
        <v>209</v>
      </c>
    </row>
    <row r="11" spans="1:13">
      <c r="B11" t="s">
        <v>41</v>
      </c>
      <c r="L11" t="s">
        <v>210</v>
      </c>
    </row>
    <row r="12" spans="1:13">
      <c r="B12" t="s">
        <v>62</v>
      </c>
      <c r="L12" t="s">
        <v>130</v>
      </c>
    </row>
    <row r="13" spans="1:13">
      <c r="B13" t="s">
        <v>45</v>
      </c>
      <c r="L13" t="s">
        <v>211</v>
      </c>
    </row>
    <row r="14" spans="1:13">
      <c r="B14" t="s">
        <v>59</v>
      </c>
      <c r="L14" t="s">
        <v>212</v>
      </c>
    </row>
    <row r="15" spans="1:13">
      <c r="B15" t="s">
        <v>49</v>
      </c>
      <c r="L15" t="s">
        <v>213</v>
      </c>
    </row>
    <row r="16" spans="1:13">
      <c r="L16" t="s">
        <v>214</v>
      </c>
    </row>
    <row r="17" spans="12:12">
      <c r="L17" t="s">
        <v>215</v>
      </c>
    </row>
    <row r="18" spans="12:12">
      <c r="L18" t="s">
        <v>216</v>
      </c>
    </row>
    <row r="19" spans="12:12">
      <c r="L19" t="s">
        <v>217</v>
      </c>
    </row>
    <row r="20" spans="12:12">
      <c r="L20" t="s">
        <v>218</v>
      </c>
    </row>
    <row r="21" spans="12:12">
      <c r="L21" t="s">
        <v>219</v>
      </c>
    </row>
    <row r="22" spans="12:12">
      <c r="L22" t="s">
        <v>220</v>
      </c>
    </row>
  </sheetData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2026-07-11T07:13:59Z</dcterms:created>
  <dcterms:modified xsi:type="dcterms:W3CDTF">2026-08-26T21:10:26Z</dcterms:modified>
  <cp:category/>
  <cp:contentStatus/>
</cp:coreProperties>
</file>